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Calendar" sheetId="1" r:id="rId5"/>
    <sheet state="visible" name="Performance" sheetId="2" r:id="rId6"/>
    <sheet state="visible" name="Übersicht" sheetId="3" r:id="rId7"/>
  </sheets>
  <definedNames/>
  <calcPr/>
</workbook>
</file>

<file path=xl/sharedStrings.xml><?xml version="1.0" encoding="utf-8"?>
<sst xmlns="http://schemas.openxmlformats.org/spreadsheetml/2006/main" count="714" uniqueCount="169">
  <si>
    <t>KW</t>
  </si>
  <si>
    <t>Wochenthema</t>
  </si>
  <si>
    <t>Webinar Datum</t>
  </si>
  <si>
    <t>Content-Typ</t>
  </si>
  <si>
    <t>Titel</t>
  </si>
  <si>
    <t>Verantwortlich</t>
  </si>
  <si>
    <t>Status</t>
  </si>
  <si>
    <t>Fällig am</t>
  </si>
  <si>
    <t>Veröffentlicht am</t>
  </si>
  <si>
    <t>Link Quelle</t>
  </si>
  <si>
    <t>Link veröffentlicht</t>
  </si>
  <si>
    <t>Anmerkungen</t>
  </si>
  <si>
    <t>Schenken ohne Risiken - Was steuerlich wichtig ist</t>
  </si>
  <si>
    <t>Webinar</t>
  </si>
  <si>
    <t>RA Braun</t>
  </si>
  <si>
    <t>Geplant</t>
  </si>
  <si>
    <t>2026-03-19</t>
  </si>
  <si>
    <t>Artikel</t>
  </si>
  <si>
    <t>Schenkungssteuer Freibeträge 2026: Tabelle und Strategien</t>
  </si>
  <si>
    <t>Frau Schaffer</t>
  </si>
  <si>
    <t>2026-03-26</t>
  </si>
  <si>
    <t>Di 24.03. Übergabe an Frau Schaffer → Do 26.03. Upload</t>
  </si>
  <si>
    <t>YouTube Short</t>
  </si>
  <si>
    <t>Steuerfrei schenken: So geht's</t>
  </si>
  <si>
    <t>Olja</t>
  </si>
  <si>
    <t>Instagram Reel</t>
  </si>
  <si>
    <t>LinkedIn Video</t>
  </si>
  <si>
    <t>Warum ich meine Kanzlei gegründet habe — und was ich heute anders machen würde</t>
  </si>
  <si>
    <t>Erbrecht</t>
  </si>
  <si>
    <t>Erbrecht: Was Sie wissen müssen</t>
  </si>
  <si>
    <t>Erster Artikel — Qualitäts-Benchmark beachten | Di 24.03. Übergabe → Do 26.03. Upload</t>
  </si>
  <si>
    <t>Mein spannendstes Mandat — und was ich daraus gelernt habe</t>
  </si>
  <si>
    <t>Erbrecht in 60 Sekunden</t>
  </si>
  <si>
    <t>Erbrecht: 3 häufige Fehler</t>
  </si>
  <si>
    <t>Aufnahme mit Herrn Braun</t>
  </si>
  <si>
    <t>Newsletter</t>
  </si>
  <si>
    <t>Monatsrückblick März — Schwerpunkt Erbrecht</t>
  </si>
  <si>
    <t>Monatlich, erscheint Ende März</t>
  </si>
  <si>
    <t>Nach mir die Sintflut: Gefahren der gesetzlichen Erbfolge - jeder braucht ein Testament!</t>
  </si>
  <si>
    <t>Sie fragen, wir antworten! Die häufigsten Fragen – klar beantwortet</t>
  </si>
  <si>
    <t>2026-04-16</t>
  </si>
  <si>
    <t>Erbrecht FAQ: Die 10 häufigsten Fragen und Antworten</t>
  </si>
  <si>
    <t>2026-04-23</t>
  </si>
  <si>
    <t>Di 21.04. Übergabe an Frau Schaffer → Do 23.04. Upload</t>
  </si>
  <si>
    <t>Die häufigste Erbrecht-Frage — Anwalt antwortet</t>
  </si>
  <si>
    <t>Ein Tag als Anwalt für Erbrecht — so sieht mein Alltag wirklich aus</t>
  </si>
  <si>
    <t>Ein Leitfaden für Hinterbliebene: Rechte, Pflichten und nächste Schritte</t>
  </si>
  <si>
    <t>Todesfall: Was Angehörige in den ersten 48 Stunden tun müssen</t>
  </si>
  <si>
    <t>2026-04-30</t>
  </si>
  <si>
    <t>Di 28.04. Übergabe an Frau Schaffer → Do 30.04. Upload</t>
  </si>
  <si>
    <t>Die ersten Schritte nach einem Todesfall</t>
  </si>
  <si>
    <t>Meine erste Mitarbeiterin — wie aus einer Idee ein Team wurde</t>
  </si>
  <si>
    <t>Nachlassplanung für moderne Familien - Lösungen für Singles, Unverheiratete und Patchworkfamilien</t>
  </si>
  <si>
    <t>Testament für Patchworkfamilien: Stiefkinder richtig absichern</t>
  </si>
  <si>
    <t>2026-05-07</t>
  </si>
  <si>
    <t>Di 05.05. Übergabe an Frau Schaffer → Do 07.05. Upload</t>
  </si>
  <si>
    <t>Patchworkfamilie? So muss Ihr Testament aussehen</t>
  </si>
  <si>
    <t>KI in meiner Kanzlei — was funktioniert und was (noch) nicht</t>
  </si>
  <si>
    <t>Testamente unter Ehegatten richtig gemacht: Typische Irrtümer und die verheerenden Folgen</t>
  </si>
  <si>
    <t>Berliner Testament: Vorteile, Risiken und Alternativen</t>
  </si>
  <si>
    <t>2026-05-14</t>
  </si>
  <si>
    <t>Di 12.05. Übergabe an Frau Schaffer → Do 14.05. Upload</t>
  </si>
  <si>
    <t>Berliner Testament: Die 3 größten Risiken</t>
  </si>
  <si>
    <t>Was mich nach Jahren im Erbrecht immer noch überrascht</t>
  </si>
  <si>
    <t>Das Pflichtteilsrecht: Schutz, Risiko, Stolperfalle? Was Sie wissen müssen</t>
  </si>
  <si>
    <t>2026-05-21</t>
  </si>
  <si>
    <t>Pflichtteil berechnen: Formel, Beispiele und Sonderfälle</t>
  </si>
  <si>
    <t>2026-05-28</t>
  </si>
  <si>
    <t>Di 26.05. Übergabe an Frau Schaffer → Do 28.05. Upload</t>
  </si>
  <si>
    <t>Pflichtteil berechnen: Einfach erklärt</t>
  </si>
  <si>
    <t>Ein Tag als Testamentsvollstrecker — zwischen Verantwortung und Vertrauen</t>
  </si>
  <si>
    <t>Eine Immobilie - Zwei Kinder: Wie soll ich meinen Nachlass planen?</t>
  </si>
  <si>
    <t>2026-06-11</t>
  </si>
  <si>
    <t>Immobilie vererben: Steuern, Teilung und Strategien</t>
  </si>
  <si>
    <t>2026-06-18</t>
  </si>
  <si>
    <t>Di 16.06. Übergabe an Frau Schaffer → Do 18.06. Upload</t>
  </si>
  <si>
    <t>Immobilie vererben: Steuerfalle vermeiden</t>
  </si>
  <si>
    <t>Die Frage, die mir Mandanten am häufigsten stellen — meine ehrliche Antwort</t>
  </si>
  <si>
    <t>Der Notfallkoffer: Die Vorsorgevollmacht und die Patientenverfügung!</t>
  </si>
  <si>
    <t>Vorsorgevollmacht: Was muss drinstehen? Checkliste 2026</t>
  </si>
  <si>
    <t>2026-06-25</t>
  </si>
  <si>
    <t>Di 23.06. Übergabe an Frau Schaffer → Do 25.06. Upload</t>
  </si>
  <si>
    <t>Vorsorgevollmacht: Diese Fehler unbedingt vermeiden</t>
  </si>
  <si>
    <t>Was ich meiner eigenen Familie rate — Vorsorge ganz persönlich</t>
  </si>
  <si>
    <t>Sie fragen, wir antworten! Ihre häufigsten Fragen – klar beantwortet</t>
  </si>
  <si>
    <t>Vorsorge und Erbrecht: Ihre Fragen aus dem Webinar beantwortet</t>
  </si>
  <si>
    <t>2026-07-02</t>
  </si>
  <si>
    <t>Di 30.06. Übergabe an Frau Schaffer → Do 02.07. Upload</t>
  </si>
  <si>
    <t>Erbrecht: Die überraschendste Frage aus dem Webinar</t>
  </si>
  <si>
    <t>Was ich als Anwalt immer wieder gefragt werde — und meine Antworten</t>
  </si>
  <si>
    <t>Vorweggenommene Erbfolge: Schenken ohne Risiken - Was Sie beachten müssen und was steuerlich wichtig ist</t>
  </si>
  <si>
    <t>Immobilie schenken mit Nießbrauch: So bleibt Ihnen das Wohnrecht</t>
  </si>
  <si>
    <t>Haus schenken und trotzdem wohnen bleiben?</t>
  </si>
  <si>
    <t>Nießbrauch: Die smarte Lösung beim Immobilien-Schenken</t>
  </si>
  <si>
    <t>Testamente unter Ehegatten richtig gemacht: Typische Irrtümer und verheerenden Folgen</t>
  </si>
  <si>
    <t>Gemeinschaftliches Testament ändern — geht das überhaupt?</t>
  </si>
  <si>
    <t>Kann ich mein gemeinsames Testament ändern?</t>
  </si>
  <si>
    <t>Vorsicht Bindungswirkung: Was nach dem Tod des Partners gilt</t>
  </si>
  <si>
    <t>Ein Leitfaden für Hinterbliebene: was sind Rechte, Pflichten und nächste Schritte?</t>
  </si>
  <si>
    <t>Erbschein beantragen: Kosten, Dauer und Ablauf 2026</t>
  </si>
  <si>
    <t>Erbschein: Was kostet er wirklich?</t>
  </si>
  <si>
    <t>Brauchen Sie einen Erbschein? Das kommt darauf an</t>
  </si>
  <si>
    <t>Nach mir die Sintflut: Gefahren der gesetzlichen Erbfolge - alle brauchen ein Testament!</t>
  </si>
  <si>
    <t>Gesetzliche Erbfolge: Wer erbt, wenn kein Testament existiert?</t>
  </si>
  <si>
    <t>Wer erbt ohne Testament? Die Antwort überrascht</t>
  </si>
  <si>
    <t>Kein Testament? Das passiert mit Ihrem Vermögen</t>
  </si>
  <si>
    <t>Die Erbengemeinschaft hat der Teufel gesehen- nur mit einem Testament vermeiden Sie diese Probleme.</t>
  </si>
  <si>
    <t>Erbengemeinschaft: Warum sie fast immer zum Streit führt</t>
  </si>
  <si>
    <t>Warum Erbengemeinschaften scheitern</t>
  </si>
  <si>
    <t>Erbengemeinschaft = Streitgemeinschaft? Meine Erfahrung als Anwalt</t>
  </si>
  <si>
    <t>Vorsorge richtig gemacht - Die Vorsorgevollmacht. Was Sie wissen müssen</t>
  </si>
  <si>
    <t>Patientenverfügung richtig ausfüllen — Schritt für Schritt</t>
  </si>
  <si>
    <t>Patientenverfügung: 3 fatale Fehler</t>
  </si>
  <si>
    <t>Warum die meisten Patientenverfügungen unwirksam sind</t>
  </si>
  <si>
    <t>Kein Testament ohne Testamentsvollstreckung! Eine Testamentsvollstreckung löst Probleme statt neue zu schaffen</t>
  </si>
  <si>
    <t>Testamentsvollstreckung einfach erklärt: Wann sie sinnvoll ist</t>
  </si>
  <si>
    <t>Testamentsvollstreckung: Brauchen Sie eine?</t>
  </si>
  <si>
    <t>Familienkonflikte vermeiden: Warum ein Testamentsvollstrecker hilft</t>
  </si>
  <si>
    <t>Das Pflichtteilsrecht: Schutz, Risiko oder Stolperfalle? Was Sie wissen müssen</t>
  </si>
  <si>
    <t>Pflichtteilsverzicht: Wann er sinnvoll ist und was er kostet</t>
  </si>
  <si>
    <t>Lohnt sich ein Pflichtteilsverzicht?</t>
  </si>
  <si>
    <t>Pflichtteilsverzicht — wann ist er klug? Meine ehrliche Einschätzung</t>
  </si>
  <si>
    <t>Erbrecht-Irrtümer: 7 Mythen, die fast jeder glaubt</t>
  </si>
  <si>
    <t>Der größte Erbrecht-Irrtum — Anwalt klärt auf</t>
  </si>
  <si>
    <t>Erbrecht-Mythen, die ich täglich höre — meine Klarstellung</t>
  </si>
  <si>
    <t>Wann braucht man eine Patientenverfügung und wie füllt man diese richtig aus. Was Sie wissen müssen</t>
  </si>
  <si>
    <t>Betreuungsverfügung: Unterschied zur Vorsorgevollmacht erklärt</t>
  </si>
  <si>
    <t>Betreuung vs. Vollmacht: Der Unterschied</t>
  </si>
  <si>
    <t>Vorsorgevollmacht vs. Betreuungsverfügung — was brauchen Sie wirklich?</t>
  </si>
  <si>
    <t>Erbschaftssteuer und Schenkungssteuer vemeiden</t>
  </si>
  <si>
    <t>Kettenschenkung: Legal Steuern sparen bei der Erbschaft</t>
  </si>
  <si>
    <t>Was ist eine Kettenschenkung?</t>
  </si>
  <si>
    <t>Kettenschenkung — erlaubt oder riskant? Meine Einschätzung</t>
  </si>
  <si>
    <t>Testamente für moderne Familien und Alleinstehende - Lösungsmöglichkeiten für Singles, Alleinstehende und Unverheiratete</t>
  </si>
  <si>
    <t>Unverheiratet zusammenleben: Erbrecht-Risiken und Lösungen</t>
  </si>
  <si>
    <t>Unverheiratet: Null Erbrecht — was tun?</t>
  </si>
  <si>
    <t>Nicht verheiratet? Ihr Partner erbt nichts — so ändern Sie das</t>
  </si>
  <si>
    <t>Erben und Vererben - die größten Fehler  und die besten Tipps</t>
  </si>
  <si>
    <t>Erben und Vererben: Die 10 größten Fehler vermeiden</t>
  </si>
  <si>
    <t>3 Fehler beim Vererben, die fast jeder macht</t>
  </si>
  <si>
    <t>Die Fehler, die ich als Erbrechts-Anwalt am häufigsten sehe</t>
  </si>
  <si>
    <t>Ein Leitfaden für Hinterbliebene- eine Übersicht zu Rechten, Pflichten und den nächsten Schritten</t>
  </si>
  <si>
    <t>Erbe ausschlagen: Frist, Ablauf und was Sie beachten müssen</t>
  </si>
  <si>
    <t>Erbe ausschlagen: 6 Wochen Frist!</t>
  </si>
  <si>
    <t>Erbe ausschlagen — wann es die bessere Wahl ist</t>
  </si>
  <si>
    <t>Der Notfallkoffer - eine Übersicht zu Vorsorgevollmacht, Patientenverfügung und Bankvollmacht!</t>
  </si>
  <si>
    <t>Bankvollmacht: Was passiert mit dem Konto im Notfall?</t>
  </si>
  <si>
    <t>Kein Zugriff aufs Konto? Bankvollmacht erklärt</t>
  </si>
  <si>
    <t>Ohne Bankvollmacht kein Kontozugriff — so schützen Sie sich</t>
  </si>
  <si>
    <t>Impressions</t>
  </si>
  <si>
    <t>Clicks</t>
  </si>
  <si>
    <t>Engagement</t>
  </si>
  <si>
    <t>CTR (%)</t>
  </si>
  <si>
    <t>Bemerkung</t>
  </si>
  <si>
    <t>Erbrecht kompakt erklärt</t>
  </si>
  <si>
    <t>ÜBERSICHT — Content Dashboard</t>
  </si>
  <si>
    <t>Status-Übersicht</t>
  </si>
  <si>
    <t>Anzahl</t>
  </si>
  <si>
    <t>Nächste Deadlines</t>
  </si>
  <si>
    <t>Datum</t>
  </si>
  <si>
    <t>In Arbeit</t>
  </si>
  <si>
    <t>Review</t>
  </si>
  <si>
    <t>Freigegeben</t>
  </si>
  <si>
    <t>Veröffentlicht</t>
  </si>
  <si>
    <t>Performance pro Kanal</t>
  </si>
  <si>
    <t>Ø Impressions</t>
  </si>
  <si>
    <t>Ø Clicks</t>
  </si>
  <si>
    <t>Ø Engagement</t>
  </si>
  <si>
    <t>Ø CTR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</si>
</sst>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83859"/>
        <bgColor rgb="FF283859"/>
      </patternFill>
    </fill>
    <fill>
      <patternFill patternType="solid">
        <fgColor rgb="FFD8E0F2"/>
        <bgColor rgb="FFD8E0F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ont="1">
      <alignment horizontal="left"/>
    </xf>
    <xf borderId="0" fillId="3" fontId="4" numFmtId="0" xfId="0" applyFill="1" applyFont="1"/>
  </cellXfs>
  <cellStyles count="1">
    <cellStyle xfId="0" name="Normal" builtinId="0"/>
  </cellStyles>
  <dxfs count="5">
    <dxf>
      <font/>
      <fill>
        <patternFill patternType="solid">
          <fgColor rgb="FFEAEAEA"/>
          <bgColor rgb="FFEAEAEA"/>
        </patternFill>
      </fill>
      <border/>
    </dxf>
    <dxf>
      <font/>
      <fill>
        <patternFill patternType="solid">
          <fgColor rgb="FFFFF299"/>
          <bgColor rgb="FFFFF299"/>
        </patternFill>
      </fill>
      <border/>
    </dxf>
    <dxf>
      <font/>
      <fill>
        <patternFill patternType="solid">
          <fgColor rgb="FFB2D8FF"/>
          <bgColor rgb="FFB2D8FF"/>
        </patternFill>
      </fill>
      <border/>
    </dxf>
    <dxf>
      <font/>
      <fill>
        <patternFill patternType="solid">
          <fgColor rgb="FFB2EAB2"/>
          <bgColor rgb="FFB2EAB2"/>
        </patternFill>
      </fill>
      <border/>
    </dxf>
    <dxf>
      <font>
        <b/>
        <color rgb="FFFFFFFF"/>
      </font>
      <fill>
        <patternFill patternType="solid">
          <fgColor rgb="FF59BF59"/>
          <bgColor rgb="FF59BF5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51.13"/>
    <col customWidth="1" min="3" max="3" width="15.13"/>
    <col customWidth="1" min="4" max="4" width="17.63"/>
    <col customWidth="1" min="5" max="5" width="35.13"/>
    <col customWidth="1" min="6" max="6" width="17.63"/>
    <col customWidth="1" min="7" max="9" width="16.38"/>
    <col customWidth="1" min="10" max="11" width="25.13"/>
    <col customWidth="1" min="12" max="12" width="31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12.0</v>
      </c>
      <c r="B2" s="2" t="s">
        <v>12</v>
      </c>
      <c r="C2" s="3">
        <v>46100.0</v>
      </c>
      <c r="D2" s="2" t="s">
        <v>13</v>
      </c>
      <c r="E2" s="2" t="s">
        <v>12</v>
      </c>
      <c r="F2" s="2" t="s">
        <v>14</v>
      </c>
      <c r="G2" s="2" t="s">
        <v>15</v>
      </c>
      <c r="H2" s="4" t="s">
        <v>16</v>
      </c>
    </row>
    <row r="3">
      <c r="A3" s="2">
        <v>12.0</v>
      </c>
      <c r="B3" s="2" t="s">
        <v>12</v>
      </c>
      <c r="C3" s="3">
        <v>46100.0</v>
      </c>
      <c r="D3" s="2" t="s">
        <v>17</v>
      </c>
      <c r="E3" s="2" t="s">
        <v>18</v>
      </c>
      <c r="F3" s="2" t="s">
        <v>19</v>
      </c>
      <c r="G3" s="2" t="s">
        <v>15</v>
      </c>
      <c r="H3" s="4" t="s">
        <v>20</v>
      </c>
      <c r="L3" s="2" t="s">
        <v>21</v>
      </c>
    </row>
    <row r="4">
      <c r="A4" s="2">
        <v>12.0</v>
      </c>
      <c r="B4" s="2" t="s">
        <v>12</v>
      </c>
      <c r="C4" s="3">
        <v>46100.0</v>
      </c>
      <c r="D4" s="2" t="s">
        <v>22</v>
      </c>
      <c r="E4" s="2" t="s">
        <v>23</v>
      </c>
      <c r="F4" s="2" t="s">
        <v>24</v>
      </c>
      <c r="G4" s="2" t="s">
        <v>15</v>
      </c>
      <c r="H4" s="3">
        <v>46105.0</v>
      </c>
    </row>
    <row r="5">
      <c r="A5" s="2">
        <v>12.0</v>
      </c>
      <c r="B5" s="2" t="s">
        <v>12</v>
      </c>
      <c r="C5" s="3">
        <v>46100.0</v>
      </c>
      <c r="D5" s="2" t="s">
        <v>25</v>
      </c>
      <c r="E5" s="2" t="s">
        <v>23</v>
      </c>
      <c r="F5" s="2" t="s">
        <v>24</v>
      </c>
      <c r="G5" s="2" t="s">
        <v>15</v>
      </c>
      <c r="H5" s="3">
        <v>46105.0</v>
      </c>
    </row>
    <row r="6">
      <c r="A6" s="2">
        <v>12.0</v>
      </c>
      <c r="B6" s="2" t="s">
        <v>12</v>
      </c>
      <c r="C6" s="3">
        <v>46100.0</v>
      </c>
      <c r="D6" s="2" t="s">
        <v>26</v>
      </c>
      <c r="E6" s="2" t="s">
        <v>27</v>
      </c>
      <c r="F6" s="2" t="s">
        <v>24</v>
      </c>
      <c r="G6" s="2" t="s">
        <v>15</v>
      </c>
      <c r="H6" s="3">
        <v>46105.0</v>
      </c>
    </row>
    <row r="7">
      <c r="A7" s="2">
        <v>13.0</v>
      </c>
      <c r="B7" s="2" t="s">
        <v>28</v>
      </c>
      <c r="C7" s="3">
        <v>46104.0</v>
      </c>
      <c r="D7" s="2" t="s">
        <v>17</v>
      </c>
      <c r="E7" s="2" t="s">
        <v>29</v>
      </c>
      <c r="F7" s="2" t="s">
        <v>19</v>
      </c>
      <c r="G7" s="2" t="s">
        <v>15</v>
      </c>
      <c r="H7" s="4" t="s">
        <v>20</v>
      </c>
      <c r="L7" s="2" t="s">
        <v>30</v>
      </c>
    </row>
    <row r="8">
      <c r="A8" s="2">
        <v>13.0</v>
      </c>
      <c r="B8" s="2" t="s">
        <v>28</v>
      </c>
      <c r="C8" s="3">
        <v>46104.0</v>
      </c>
      <c r="D8" s="2" t="s">
        <v>26</v>
      </c>
      <c r="E8" s="2" t="s">
        <v>31</v>
      </c>
      <c r="F8" s="2" t="s">
        <v>24</v>
      </c>
      <c r="G8" s="2" t="s">
        <v>15</v>
      </c>
      <c r="H8" s="3">
        <v>46108.0</v>
      </c>
    </row>
    <row r="9">
      <c r="A9" s="2">
        <v>13.0</v>
      </c>
      <c r="B9" s="2" t="s">
        <v>28</v>
      </c>
      <c r="C9" s="3">
        <v>46104.0</v>
      </c>
      <c r="D9" s="2" t="s">
        <v>25</v>
      </c>
      <c r="E9" s="2" t="s">
        <v>32</v>
      </c>
      <c r="F9" s="2" t="s">
        <v>24</v>
      </c>
      <c r="G9" s="2" t="s">
        <v>15</v>
      </c>
      <c r="H9" s="3">
        <v>46108.0</v>
      </c>
    </row>
    <row r="10">
      <c r="A10" s="2">
        <v>13.0</v>
      </c>
      <c r="B10" s="2" t="s">
        <v>28</v>
      </c>
      <c r="C10" s="3">
        <v>46104.0</v>
      </c>
      <c r="D10" s="2" t="s">
        <v>22</v>
      </c>
      <c r="E10" s="2" t="s">
        <v>33</v>
      </c>
      <c r="F10" s="2" t="s">
        <v>24</v>
      </c>
      <c r="G10" s="2" t="s">
        <v>15</v>
      </c>
      <c r="H10" s="3">
        <v>46108.0</v>
      </c>
      <c r="L10" s="2" t="s">
        <v>34</v>
      </c>
    </row>
    <row r="11">
      <c r="A11" s="2">
        <v>13.0</v>
      </c>
      <c r="B11" s="2" t="s">
        <v>28</v>
      </c>
      <c r="C11" s="3">
        <v>46104.0</v>
      </c>
      <c r="D11" s="2" t="s">
        <v>35</v>
      </c>
      <c r="E11" s="2" t="s">
        <v>36</v>
      </c>
      <c r="F11" s="2" t="s">
        <v>24</v>
      </c>
      <c r="G11" s="2" t="s">
        <v>15</v>
      </c>
      <c r="H11" s="3">
        <v>46112.0</v>
      </c>
      <c r="L11" s="2" t="s">
        <v>37</v>
      </c>
    </row>
    <row r="12">
      <c r="A12" s="2">
        <v>13.0</v>
      </c>
      <c r="B12" s="2" t="s">
        <v>38</v>
      </c>
      <c r="C12" s="3">
        <v>46107.0</v>
      </c>
      <c r="D12" s="2" t="s">
        <v>13</v>
      </c>
      <c r="E12" s="2" t="s">
        <v>38</v>
      </c>
      <c r="F12" s="2" t="s">
        <v>14</v>
      </c>
      <c r="G12" s="2" t="s">
        <v>15</v>
      </c>
      <c r="H12" s="4" t="s">
        <v>20</v>
      </c>
    </row>
    <row r="13">
      <c r="A13" s="2">
        <v>16.0</v>
      </c>
      <c r="B13" s="2" t="s">
        <v>39</v>
      </c>
      <c r="C13" s="3">
        <v>46128.0</v>
      </c>
      <c r="D13" s="2" t="s">
        <v>13</v>
      </c>
      <c r="E13" s="2" t="s">
        <v>39</v>
      </c>
      <c r="F13" s="2" t="s">
        <v>14</v>
      </c>
      <c r="G13" s="2" t="s">
        <v>15</v>
      </c>
      <c r="H13" s="4" t="s">
        <v>40</v>
      </c>
    </row>
    <row r="14">
      <c r="A14" s="2">
        <v>16.0</v>
      </c>
      <c r="B14" s="2" t="s">
        <v>39</v>
      </c>
      <c r="C14" s="3">
        <v>46128.0</v>
      </c>
      <c r="D14" s="2" t="s">
        <v>17</v>
      </c>
      <c r="E14" s="2" t="s">
        <v>41</v>
      </c>
      <c r="F14" s="2" t="s">
        <v>19</v>
      </c>
      <c r="G14" s="2" t="s">
        <v>15</v>
      </c>
      <c r="H14" s="4" t="s">
        <v>42</v>
      </c>
      <c r="L14" s="2" t="s">
        <v>43</v>
      </c>
    </row>
    <row r="15">
      <c r="A15" s="2">
        <v>16.0</v>
      </c>
      <c r="B15" s="2" t="s">
        <v>39</v>
      </c>
      <c r="C15" s="3">
        <v>46128.0</v>
      </c>
      <c r="D15" s="2" t="s">
        <v>22</v>
      </c>
      <c r="E15" s="2" t="s">
        <v>44</v>
      </c>
      <c r="F15" s="2" t="s">
        <v>24</v>
      </c>
      <c r="G15" s="2" t="s">
        <v>15</v>
      </c>
      <c r="H15" s="3">
        <v>46133.0</v>
      </c>
    </row>
    <row r="16">
      <c r="A16" s="2">
        <v>16.0</v>
      </c>
      <c r="B16" s="2" t="s">
        <v>39</v>
      </c>
      <c r="C16" s="3">
        <v>46128.0</v>
      </c>
      <c r="D16" s="2" t="s">
        <v>25</v>
      </c>
      <c r="E16" s="2" t="s">
        <v>44</v>
      </c>
      <c r="F16" s="2" t="s">
        <v>24</v>
      </c>
      <c r="G16" s="2" t="s">
        <v>15</v>
      </c>
      <c r="H16" s="3">
        <v>46133.0</v>
      </c>
    </row>
    <row r="17">
      <c r="A17" s="2">
        <v>16.0</v>
      </c>
      <c r="B17" s="2" t="s">
        <v>39</v>
      </c>
      <c r="C17" s="3">
        <v>46128.0</v>
      </c>
      <c r="D17" s="2" t="s">
        <v>26</v>
      </c>
      <c r="E17" s="2" t="s">
        <v>45</v>
      </c>
      <c r="F17" s="2" t="s">
        <v>24</v>
      </c>
      <c r="G17" s="2" t="s">
        <v>15</v>
      </c>
      <c r="H17" s="3">
        <v>46133.0</v>
      </c>
    </row>
    <row r="18">
      <c r="A18" s="2">
        <v>17.0</v>
      </c>
      <c r="B18" s="2" t="s">
        <v>46</v>
      </c>
      <c r="C18" s="3">
        <v>46135.0</v>
      </c>
      <c r="D18" s="2" t="s">
        <v>13</v>
      </c>
      <c r="E18" s="2" t="s">
        <v>46</v>
      </c>
      <c r="F18" s="2" t="s">
        <v>14</v>
      </c>
      <c r="G18" s="2" t="s">
        <v>15</v>
      </c>
      <c r="H18" s="4" t="s">
        <v>42</v>
      </c>
    </row>
    <row r="19">
      <c r="A19" s="2">
        <v>17.0</v>
      </c>
      <c r="B19" s="2" t="s">
        <v>46</v>
      </c>
      <c r="C19" s="3">
        <v>46135.0</v>
      </c>
      <c r="D19" s="2" t="s">
        <v>17</v>
      </c>
      <c r="E19" s="2" t="s">
        <v>47</v>
      </c>
      <c r="F19" s="2" t="s">
        <v>19</v>
      </c>
      <c r="G19" s="2" t="s">
        <v>15</v>
      </c>
      <c r="H19" s="4" t="s">
        <v>48</v>
      </c>
      <c r="L19" s="2" t="s">
        <v>49</v>
      </c>
    </row>
    <row r="20">
      <c r="A20" s="2">
        <v>17.0</v>
      </c>
      <c r="B20" s="2" t="s">
        <v>46</v>
      </c>
      <c r="C20" s="3">
        <v>46135.0</v>
      </c>
      <c r="D20" s="2" t="s">
        <v>22</v>
      </c>
      <c r="E20" s="2" t="s">
        <v>50</v>
      </c>
      <c r="F20" s="2" t="s">
        <v>24</v>
      </c>
      <c r="G20" s="2" t="s">
        <v>15</v>
      </c>
      <c r="H20" s="3">
        <v>46140.0</v>
      </c>
    </row>
    <row r="21">
      <c r="A21" s="2">
        <v>17.0</v>
      </c>
      <c r="B21" s="2" t="s">
        <v>46</v>
      </c>
      <c r="C21" s="3">
        <v>46135.0</v>
      </c>
      <c r="D21" s="2" t="s">
        <v>25</v>
      </c>
      <c r="E21" s="2" t="s">
        <v>50</v>
      </c>
      <c r="F21" s="2" t="s">
        <v>24</v>
      </c>
      <c r="G21" s="2" t="s">
        <v>15</v>
      </c>
      <c r="H21" s="3">
        <v>46140.0</v>
      </c>
    </row>
    <row r="22">
      <c r="A22" s="2">
        <v>17.0</v>
      </c>
      <c r="B22" s="2" t="s">
        <v>46</v>
      </c>
      <c r="C22" s="3">
        <v>46135.0</v>
      </c>
      <c r="D22" s="2" t="s">
        <v>26</v>
      </c>
      <c r="E22" s="2" t="s">
        <v>51</v>
      </c>
      <c r="F22" s="2" t="s">
        <v>24</v>
      </c>
      <c r="G22" s="2" t="s">
        <v>15</v>
      </c>
      <c r="H22" s="3">
        <v>46140.0</v>
      </c>
    </row>
    <row r="23">
      <c r="A23" s="2">
        <v>18.0</v>
      </c>
      <c r="B23" s="2" t="s">
        <v>52</v>
      </c>
      <c r="C23" s="3">
        <v>46142.0</v>
      </c>
      <c r="D23" s="2" t="s">
        <v>13</v>
      </c>
      <c r="E23" s="2" t="s">
        <v>52</v>
      </c>
      <c r="F23" s="2" t="s">
        <v>14</v>
      </c>
      <c r="G23" s="2" t="s">
        <v>15</v>
      </c>
      <c r="H23" s="4" t="s">
        <v>48</v>
      </c>
    </row>
    <row r="24">
      <c r="A24" s="2">
        <v>18.0</v>
      </c>
      <c r="B24" s="2" t="s">
        <v>52</v>
      </c>
      <c r="C24" s="3">
        <v>46142.0</v>
      </c>
      <c r="D24" s="2" t="s">
        <v>17</v>
      </c>
      <c r="E24" s="2" t="s">
        <v>53</v>
      </c>
      <c r="F24" s="2" t="s">
        <v>19</v>
      </c>
      <c r="G24" s="2" t="s">
        <v>15</v>
      </c>
      <c r="H24" s="4" t="s">
        <v>54</v>
      </c>
      <c r="L24" s="2" t="s">
        <v>55</v>
      </c>
    </row>
    <row r="25">
      <c r="A25" s="2">
        <v>18.0</v>
      </c>
      <c r="B25" s="2" t="s">
        <v>52</v>
      </c>
      <c r="C25" s="3">
        <v>46142.0</v>
      </c>
      <c r="D25" s="2" t="s">
        <v>22</v>
      </c>
      <c r="E25" s="2" t="s">
        <v>56</v>
      </c>
      <c r="F25" s="2" t="s">
        <v>24</v>
      </c>
      <c r="G25" s="2" t="s">
        <v>15</v>
      </c>
      <c r="H25" s="3">
        <v>46147.0</v>
      </c>
    </row>
    <row r="26">
      <c r="A26" s="2">
        <v>18.0</v>
      </c>
      <c r="B26" s="2" t="s">
        <v>52</v>
      </c>
      <c r="C26" s="3">
        <v>46142.0</v>
      </c>
      <c r="D26" s="2" t="s">
        <v>25</v>
      </c>
      <c r="E26" s="2" t="s">
        <v>56</v>
      </c>
      <c r="F26" s="2" t="s">
        <v>24</v>
      </c>
      <c r="G26" s="2" t="s">
        <v>15</v>
      </c>
      <c r="H26" s="3">
        <v>46147.0</v>
      </c>
    </row>
    <row r="27">
      <c r="A27" s="2">
        <v>18.0</v>
      </c>
      <c r="B27" s="2" t="s">
        <v>52</v>
      </c>
      <c r="C27" s="3">
        <v>46142.0</v>
      </c>
      <c r="D27" s="2" t="s">
        <v>26</v>
      </c>
      <c r="E27" s="2" t="s">
        <v>57</v>
      </c>
      <c r="F27" s="2" t="s">
        <v>24</v>
      </c>
      <c r="G27" s="2" t="s">
        <v>15</v>
      </c>
      <c r="H27" s="3">
        <v>46147.0</v>
      </c>
    </row>
    <row r="28">
      <c r="A28" s="2">
        <v>19.0</v>
      </c>
      <c r="B28" s="2" t="s">
        <v>58</v>
      </c>
      <c r="C28" s="3">
        <v>46149.0</v>
      </c>
      <c r="D28" s="2" t="s">
        <v>13</v>
      </c>
      <c r="E28" s="2" t="s">
        <v>58</v>
      </c>
      <c r="F28" s="2" t="s">
        <v>14</v>
      </c>
      <c r="G28" s="2" t="s">
        <v>15</v>
      </c>
      <c r="H28" s="4" t="s">
        <v>54</v>
      </c>
    </row>
    <row r="29">
      <c r="A29" s="2">
        <v>19.0</v>
      </c>
      <c r="B29" s="2" t="s">
        <v>58</v>
      </c>
      <c r="C29" s="3">
        <v>46149.0</v>
      </c>
      <c r="D29" s="2" t="s">
        <v>17</v>
      </c>
      <c r="E29" s="2" t="s">
        <v>59</v>
      </c>
      <c r="F29" s="2" t="s">
        <v>19</v>
      </c>
      <c r="G29" s="2" t="s">
        <v>15</v>
      </c>
      <c r="H29" s="4" t="s">
        <v>60</v>
      </c>
      <c r="L29" s="2" t="s">
        <v>61</v>
      </c>
    </row>
    <row r="30">
      <c r="A30" s="2">
        <v>19.0</v>
      </c>
      <c r="B30" s="2" t="s">
        <v>58</v>
      </c>
      <c r="C30" s="3">
        <v>46149.0</v>
      </c>
      <c r="D30" s="2" t="s">
        <v>22</v>
      </c>
      <c r="E30" s="2" t="s">
        <v>62</v>
      </c>
      <c r="F30" s="2" t="s">
        <v>24</v>
      </c>
      <c r="G30" s="2" t="s">
        <v>15</v>
      </c>
      <c r="H30" s="3">
        <v>46154.0</v>
      </c>
    </row>
    <row r="31">
      <c r="A31" s="2">
        <v>19.0</v>
      </c>
      <c r="B31" s="2" t="s">
        <v>58</v>
      </c>
      <c r="C31" s="3">
        <v>46149.0</v>
      </c>
      <c r="D31" s="2" t="s">
        <v>25</v>
      </c>
      <c r="E31" s="2" t="s">
        <v>62</v>
      </c>
      <c r="F31" s="2" t="s">
        <v>24</v>
      </c>
      <c r="G31" s="2" t="s">
        <v>15</v>
      </c>
      <c r="H31" s="3">
        <v>46154.0</v>
      </c>
    </row>
    <row r="32">
      <c r="A32" s="2">
        <v>19.0</v>
      </c>
      <c r="B32" s="2" t="s">
        <v>58</v>
      </c>
      <c r="C32" s="3">
        <v>46149.0</v>
      </c>
      <c r="D32" s="2" t="s">
        <v>26</v>
      </c>
      <c r="E32" s="2" t="s">
        <v>63</v>
      </c>
      <c r="F32" s="2" t="s">
        <v>24</v>
      </c>
      <c r="G32" s="2" t="s">
        <v>15</v>
      </c>
      <c r="H32" s="3">
        <v>46154.0</v>
      </c>
    </row>
    <row r="33">
      <c r="A33" s="2">
        <v>21.0</v>
      </c>
      <c r="B33" s="2" t="s">
        <v>64</v>
      </c>
      <c r="C33" s="3">
        <v>46163.0</v>
      </c>
      <c r="D33" s="2" t="s">
        <v>13</v>
      </c>
      <c r="E33" s="2" t="s">
        <v>64</v>
      </c>
      <c r="F33" s="2" t="s">
        <v>14</v>
      </c>
      <c r="G33" s="2" t="s">
        <v>15</v>
      </c>
      <c r="H33" s="4" t="s">
        <v>65</v>
      </c>
    </row>
    <row r="34">
      <c r="A34" s="2">
        <v>21.0</v>
      </c>
      <c r="B34" s="2" t="s">
        <v>64</v>
      </c>
      <c r="C34" s="3">
        <v>46163.0</v>
      </c>
      <c r="D34" s="2" t="s">
        <v>17</v>
      </c>
      <c r="E34" s="2" t="s">
        <v>66</v>
      </c>
      <c r="F34" s="2" t="s">
        <v>19</v>
      </c>
      <c r="G34" s="2" t="s">
        <v>15</v>
      </c>
      <c r="H34" s="4" t="s">
        <v>67</v>
      </c>
      <c r="L34" s="2" t="s">
        <v>68</v>
      </c>
    </row>
    <row r="35">
      <c r="A35" s="2">
        <v>21.0</v>
      </c>
      <c r="B35" s="2" t="s">
        <v>64</v>
      </c>
      <c r="C35" s="3">
        <v>46163.0</v>
      </c>
      <c r="D35" s="2" t="s">
        <v>22</v>
      </c>
      <c r="E35" s="2" t="s">
        <v>69</v>
      </c>
      <c r="F35" s="2" t="s">
        <v>24</v>
      </c>
      <c r="G35" s="2" t="s">
        <v>15</v>
      </c>
      <c r="H35" s="3">
        <v>46168.0</v>
      </c>
    </row>
    <row r="36">
      <c r="A36" s="2">
        <v>21.0</v>
      </c>
      <c r="B36" s="2" t="s">
        <v>64</v>
      </c>
      <c r="C36" s="3">
        <v>46163.0</v>
      </c>
      <c r="D36" s="2" t="s">
        <v>25</v>
      </c>
      <c r="E36" s="2" t="s">
        <v>69</v>
      </c>
      <c r="F36" s="2" t="s">
        <v>24</v>
      </c>
      <c r="G36" s="2" t="s">
        <v>15</v>
      </c>
      <c r="H36" s="3">
        <v>46168.0</v>
      </c>
    </row>
    <row r="37">
      <c r="A37" s="2">
        <v>21.0</v>
      </c>
      <c r="B37" s="2" t="s">
        <v>64</v>
      </c>
      <c r="C37" s="3">
        <v>46163.0</v>
      </c>
      <c r="D37" s="2" t="s">
        <v>26</v>
      </c>
      <c r="E37" s="2" t="s">
        <v>70</v>
      </c>
      <c r="F37" s="2" t="s">
        <v>24</v>
      </c>
      <c r="G37" s="2" t="s">
        <v>15</v>
      </c>
      <c r="H37" s="3">
        <v>46168.0</v>
      </c>
    </row>
    <row r="38">
      <c r="A38" s="2">
        <v>24.0</v>
      </c>
      <c r="B38" s="2" t="s">
        <v>71</v>
      </c>
      <c r="C38" s="3">
        <v>46184.0</v>
      </c>
      <c r="D38" s="2" t="s">
        <v>13</v>
      </c>
      <c r="E38" s="2" t="s">
        <v>71</v>
      </c>
      <c r="F38" s="2" t="s">
        <v>14</v>
      </c>
      <c r="G38" s="2" t="s">
        <v>15</v>
      </c>
      <c r="H38" s="4" t="s">
        <v>72</v>
      </c>
    </row>
    <row r="39">
      <c r="A39" s="2">
        <v>24.0</v>
      </c>
      <c r="B39" s="2" t="s">
        <v>71</v>
      </c>
      <c r="C39" s="3">
        <v>46184.0</v>
      </c>
      <c r="D39" s="2" t="s">
        <v>17</v>
      </c>
      <c r="E39" s="2" t="s">
        <v>73</v>
      </c>
      <c r="F39" s="2" t="s">
        <v>19</v>
      </c>
      <c r="G39" s="2" t="s">
        <v>15</v>
      </c>
      <c r="H39" s="4" t="s">
        <v>74</v>
      </c>
      <c r="L39" s="2" t="s">
        <v>75</v>
      </c>
    </row>
    <row r="40">
      <c r="A40" s="2">
        <v>24.0</v>
      </c>
      <c r="B40" s="2" t="s">
        <v>71</v>
      </c>
      <c r="C40" s="3">
        <v>46184.0</v>
      </c>
      <c r="D40" s="2" t="s">
        <v>22</v>
      </c>
      <c r="E40" s="2" t="s">
        <v>76</v>
      </c>
      <c r="F40" s="2" t="s">
        <v>24</v>
      </c>
      <c r="G40" s="2" t="s">
        <v>15</v>
      </c>
      <c r="H40" s="3">
        <v>46189.0</v>
      </c>
    </row>
    <row r="41">
      <c r="A41" s="2">
        <v>24.0</v>
      </c>
      <c r="B41" s="2" t="s">
        <v>71</v>
      </c>
      <c r="C41" s="3">
        <v>46184.0</v>
      </c>
      <c r="D41" s="2" t="s">
        <v>25</v>
      </c>
      <c r="E41" s="2" t="s">
        <v>76</v>
      </c>
      <c r="F41" s="2" t="s">
        <v>24</v>
      </c>
      <c r="G41" s="2" t="s">
        <v>15</v>
      </c>
      <c r="H41" s="3">
        <v>46189.0</v>
      </c>
    </row>
    <row r="42">
      <c r="A42" s="2">
        <v>24.0</v>
      </c>
      <c r="B42" s="2" t="s">
        <v>71</v>
      </c>
      <c r="C42" s="3">
        <v>46184.0</v>
      </c>
      <c r="D42" s="2" t="s">
        <v>26</v>
      </c>
      <c r="E42" s="2" t="s">
        <v>77</v>
      </c>
      <c r="F42" s="2" t="s">
        <v>24</v>
      </c>
      <c r="G42" s="2" t="s">
        <v>15</v>
      </c>
      <c r="H42" s="3">
        <v>46189.0</v>
      </c>
    </row>
    <row r="43">
      <c r="A43" s="2">
        <v>25.0</v>
      </c>
      <c r="B43" s="2" t="s">
        <v>78</v>
      </c>
      <c r="C43" s="3">
        <v>46191.0</v>
      </c>
      <c r="D43" s="2" t="s">
        <v>13</v>
      </c>
      <c r="E43" s="2" t="s">
        <v>78</v>
      </c>
      <c r="F43" s="2" t="s">
        <v>14</v>
      </c>
      <c r="G43" s="2" t="s">
        <v>15</v>
      </c>
      <c r="H43" s="4" t="s">
        <v>74</v>
      </c>
    </row>
    <row r="44">
      <c r="A44" s="2">
        <v>25.0</v>
      </c>
      <c r="B44" s="2" t="s">
        <v>78</v>
      </c>
      <c r="C44" s="3">
        <v>46191.0</v>
      </c>
      <c r="D44" s="2" t="s">
        <v>17</v>
      </c>
      <c r="E44" s="2" t="s">
        <v>79</v>
      </c>
      <c r="F44" s="2" t="s">
        <v>19</v>
      </c>
      <c r="G44" s="2" t="s">
        <v>15</v>
      </c>
      <c r="H44" s="4" t="s">
        <v>80</v>
      </c>
      <c r="L44" s="2" t="s">
        <v>81</v>
      </c>
    </row>
    <row r="45">
      <c r="A45" s="2">
        <v>25.0</v>
      </c>
      <c r="B45" s="2" t="s">
        <v>78</v>
      </c>
      <c r="C45" s="3">
        <v>46191.0</v>
      </c>
      <c r="D45" s="2" t="s">
        <v>22</v>
      </c>
      <c r="E45" s="2" t="s">
        <v>82</v>
      </c>
      <c r="F45" s="2" t="s">
        <v>24</v>
      </c>
      <c r="G45" s="2" t="s">
        <v>15</v>
      </c>
      <c r="H45" s="3">
        <v>46196.0</v>
      </c>
    </row>
    <row r="46">
      <c r="A46" s="2">
        <v>25.0</v>
      </c>
      <c r="B46" s="2" t="s">
        <v>78</v>
      </c>
      <c r="C46" s="3">
        <v>46191.0</v>
      </c>
      <c r="D46" s="2" t="s">
        <v>25</v>
      </c>
      <c r="E46" s="2" t="s">
        <v>82</v>
      </c>
      <c r="F46" s="2" t="s">
        <v>24</v>
      </c>
      <c r="G46" s="2" t="s">
        <v>15</v>
      </c>
      <c r="H46" s="3">
        <v>46196.0</v>
      </c>
    </row>
    <row r="47">
      <c r="A47" s="2">
        <v>25.0</v>
      </c>
      <c r="B47" s="2" t="s">
        <v>78</v>
      </c>
      <c r="C47" s="3">
        <v>46191.0</v>
      </c>
      <c r="D47" s="2" t="s">
        <v>26</v>
      </c>
      <c r="E47" s="2" t="s">
        <v>83</v>
      </c>
      <c r="F47" s="2" t="s">
        <v>24</v>
      </c>
      <c r="G47" s="2" t="s">
        <v>15</v>
      </c>
      <c r="H47" s="3">
        <v>46196.0</v>
      </c>
    </row>
    <row r="48">
      <c r="A48" s="2">
        <v>26.0</v>
      </c>
      <c r="B48" s="2" t="s">
        <v>84</v>
      </c>
      <c r="C48" s="3">
        <v>46198.0</v>
      </c>
      <c r="D48" s="2" t="s">
        <v>13</v>
      </c>
      <c r="E48" s="2" t="s">
        <v>84</v>
      </c>
      <c r="F48" s="2" t="s">
        <v>14</v>
      </c>
      <c r="G48" s="2" t="s">
        <v>15</v>
      </c>
      <c r="H48" s="4" t="s">
        <v>80</v>
      </c>
    </row>
    <row r="49">
      <c r="A49" s="2">
        <v>26.0</v>
      </c>
      <c r="B49" s="2" t="s">
        <v>84</v>
      </c>
      <c r="C49" s="3">
        <v>46198.0</v>
      </c>
      <c r="D49" s="2" t="s">
        <v>17</v>
      </c>
      <c r="E49" s="2" t="s">
        <v>85</v>
      </c>
      <c r="F49" s="2" t="s">
        <v>19</v>
      </c>
      <c r="G49" s="2" t="s">
        <v>15</v>
      </c>
      <c r="H49" s="4" t="s">
        <v>86</v>
      </c>
      <c r="L49" s="2" t="s">
        <v>87</v>
      </c>
    </row>
    <row r="50">
      <c r="A50" s="2">
        <v>26.0</v>
      </c>
      <c r="B50" s="2" t="s">
        <v>84</v>
      </c>
      <c r="C50" s="3">
        <v>46198.0</v>
      </c>
      <c r="D50" s="2" t="s">
        <v>22</v>
      </c>
      <c r="E50" s="2" t="s">
        <v>88</v>
      </c>
      <c r="F50" s="2" t="s">
        <v>24</v>
      </c>
      <c r="G50" s="2" t="s">
        <v>15</v>
      </c>
      <c r="H50" s="3">
        <v>46203.0</v>
      </c>
    </row>
    <row r="51">
      <c r="A51" s="2">
        <v>26.0</v>
      </c>
      <c r="B51" s="2" t="s">
        <v>84</v>
      </c>
      <c r="C51" s="3">
        <v>46198.0</v>
      </c>
      <c r="D51" s="2" t="s">
        <v>25</v>
      </c>
      <c r="E51" s="2" t="s">
        <v>88</v>
      </c>
      <c r="F51" s="2" t="s">
        <v>24</v>
      </c>
      <c r="G51" s="2" t="s">
        <v>15</v>
      </c>
      <c r="H51" s="3">
        <v>46203.0</v>
      </c>
    </row>
    <row r="52">
      <c r="A52" s="2">
        <v>26.0</v>
      </c>
      <c r="B52" s="2" t="s">
        <v>84</v>
      </c>
      <c r="C52" s="3">
        <v>46198.0</v>
      </c>
      <c r="D52" s="2" t="s">
        <v>26</v>
      </c>
      <c r="E52" s="2" t="s">
        <v>89</v>
      </c>
      <c r="F52" s="2" t="s">
        <v>24</v>
      </c>
      <c r="G52" s="2" t="s">
        <v>15</v>
      </c>
      <c r="H52" s="3">
        <v>46203.0</v>
      </c>
    </row>
    <row r="53">
      <c r="A53" s="2">
        <v>27.0</v>
      </c>
      <c r="B53" s="2" t="s">
        <v>90</v>
      </c>
      <c r="C53" s="3">
        <v>46205.0</v>
      </c>
      <c r="D53" s="2" t="s">
        <v>13</v>
      </c>
      <c r="E53" s="2" t="s">
        <v>90</v>
      </c>
      <c r="F53" s="2" t="s">
        <v>14</v>
      </c>
      <c r="G53" s="2" t="s">
        <v>15</v>
      </c>
      <c r="H53" s="3">
        <v>46205.0</v>
      </c>
    </row>
    <row r="54">
      <c r="A54" s="2">
        <v>27.0</v>
      </c>
      <c r="B54" s="2" t="s">
        <v>90</v>
      </c>
      <c r="C54" s="3">
        <v>46205.0</v>
      </c>
      <c r="D54" s="2" t="s">
        <v>17</v>
      </c>
      <c r="E54" s="2" t="s">
        <v>91</v>
      </c>
      <c r="F54" s="2" t="s">
        <v>19</v>
      </c>
      <c r="G54" s="2" t="s">
        <v>15</v>
      </c>
      <c r="H54" s="3">
        <v>46208.0</v>
      </c>
    </row>
    <row r="55">
      <c r="A55" s="2">
        <v>27.0</v>
      </c>
      <c r="B55" s="2" t="s">
        <v>90</v>
      </c>
      <c r="C55" s="3">
        <v>46205.0</v>
      </c>
      <c r="D55" s="2" t="s">
        <v>22</v>
      </c>
      <c r="E55" s="2" t="s">
        <v>92</v>
      </c>
      <c r="F55" s="2" t="s">
        <v>24</v>
      </c>
      <c r="G55" s="2" t="s">
        <v>15</v>
      </c>
      <c r="H55" s="3">
        <v>46210.0</v>
      </c>
    </row>
    <row r="56">
      <c r="A56" s="2">
        <v>27.0</v>
      </c>
      <c r="B56" s="2" t="s">
        <v>90</v>
      </c>
      <c r="C56" s="3">
        <v>46205.0</v>
      </c>
      <c r="D56" s="2" t="s">
        <v>25</v>
      </c>
      <c r="E56" s="2" t="s">
        <v>92</v>
      </c>
      <c r="F56" s="2" t="s">
        <v>24</v>
      </c>
      <c r="G56" s="2" t="s">
        <v>15</v>
      </c>
      <c r="H56" s="3">
        <v>46210.0</v>
      </c>
    </row>
    <row r="57">
      <c r="A57" s="2">
        <v>27.0</v>
      </c>
      <c r="B57" s="2" t="s">
        <v>90</v>
      </c>
      <c r="C57" s="3">
        <v>46205.0</v>
      </c>
      <c r="D57" s="2" t="s">
        <v>26</v>
      </c>
      <c r="E57" s="2" t="s">
        <v>93</v>
      </c>
      <c r="F57" s="2" t="s">
        <v>24</v>
      </c>
      <c r="G57" s="2" t="s">
        <v>15</v>
      </c>
      <c r="H57" s="3">
        <v>46210.0</v>
      </c>
    </row>
    <row r="58">
      <c r="A58" s="2">
        <v>28.0</v>
      </c>
      <c r="B58" s="2" t="s">
        <v>94</v>
      </c>
      <c r="C58" s="3">
        <v>46212.0</v>
      </c>
      <c r="D58" s="2" t="s">
        <v>13</v>
      </c>
      <c r="E58" s="2" t="s">
        <v>94</v>
      </c>
      <c r="F58" s="2" t="s">
        <v>14</v>
      </c>
      <c r="G58" s="2" t="s">
        <v>15</v>
      </c>
      <c r="H58" s="3">
        <v>46212.0</v>
      </c>
    </row>
    <row r="59">
      <c r="A59" s="2">
        <v>28.0</v>
      </c>
      <c r="B59" s="2" t="s">
        <v>94</v>
      </c>
      <c r="C59" s="3">
        <v>46212.0</v>
      </c>
      <c r="D59" s="2" t="s">
        <v>17</v>
      </c>
      <c r="E59" s="2" t="s">
        <v>95</v>
      </c>
      <c r="F59" s="2" t="s">
        <v>19</v>
      </c>
      <c r="G59" s="2" t="s">
        <v>15</v>
      </c>
      <c r="H59" s="3">
        <v>46215.0</v>
      </c>
    </row>
    <row r="60">
      <c r="A60" s="2">
        <v>28.0</v>
      </c>
      <c r="B60" s="2" t="s">
        <v>94</v>
      </c>
      <c r="C60" s="3">
        <v>46212.0</v>
      </c>
      <c r="D60" s="2" t="s">
        <v>22</v>
      </c>
      <c r="E60" s="2" t="s">
        <v>96</v>
      </c>
      <c r="F60" s="2" t="s">
        <v>24</v>
      </c>
      <c r="G60" s="2" t="s">
        <v>15</v>
      </c>
      <c r="H60" s="3">
        <v>46217.0</v>
      </c>
    </row>
    <row r="61">
      <c r="A61" s="2">
        <v>28.0</v>
      </c>
      <c r="B61" s="2" t="s">
        <v>94</v>
      </c>
      <c r="C61" s="3">
        <v>46212.0</v>
      </c>
      <c r="D61" s="2" t="s">
        <v>25</v>
      </c>
      <c r="E61" s="2" t="s">
        <v>96</v>
      </c>
      <c r="F61" s="2" t="s">
        <v>24</v>
      </c>
      <c r="G61" s="2" t="s">
        <v>15</v>
      </c>
      <c r="H61" s="3">
        <v>46217.0</v>
      </c>
    </row>
    <row r="62">
      <c r="A62" s="2">
        <v>28.0</v>
      </c>
      <c r="B62" s="2" t="s">
        <v>94</v>
      </c>
      <c r="C62" s="3">
        <v>46212.0</v>
      </c>
      <c r="D62" s="2" t="s">
        <v>26</v>
      </c>
      <c r="E62" s="2" t="s">
        <v>97</v>
      </c>
      <c r="F62" s="2" t="s">
        <v>24</v>
      </c>
      <c r="G62" s="2" t="s">
        <v>15</v>
      </c>
      <c r="H62" s="3">
        <v>46217.0</v>
      </c>
    </row>
    <row r="63">
      <c r="A63" s="2">
        <v>29.0</v>
      </c>
      <c r="B63" s="2" t="s">
        <v>98</v>
      </c>
      <c r="C63" s="3">
        <v>46219.0</v>
      </c>
      <c r="D63" s="2" t="s">
        <v>13</v>
      </c>
      <c r="E63" s="2" t="s">
        <v>98</v>
      </c>
      <c r="F63" s="2" t="s">
        <v>14</v>
      </c>
      <c r="G63" s="2" t="s">
        <v>15</v>
      </c>
      <c r="H63" s="3">
        <v>46219.0</v>
      </c>
    </row>
    <row r="64">
      <c r="A64" s="2">
        <v>29.0</v>
      </c>
      <c r="B64" s="2" t="s">
        <v>98</v>
      </c>
      <c r="C64" s="3">
        <v>46219.0</v>
      </c>
      <c r="D64" s="2" t="s">
        <v>17</v>
      </c>
      <c r="E64" s="2" t="s">
        <v>99</v>
      </c>
      <c r="F64" s="2" t="s">
        <v>19</v>
      </c>
      <c r="G64" s="2" t="s">
        <v>15</v>
      </c>
      <c r="H64" s="3">
        <v>46222.0</v>
      </c>
    </row>
    <row r="65">
      <c r="A65" s="2">
        <v>29.0</v>
      </c>
      <c r="B65" s="2" t="s">
        <v>98</v>
      </c>
      <c r="C65" s="3">
        <v>46219.0</v>
      </c>
      <c r="D65" s="2" t="s">
        <v>22</v>
      </c>
      <c r="E65" s="2" t="s">
        <v>100</v>
      </c>
      <c r="F65" s="2" t="s">
        <v>24</v>
      </c>
      <c r="G65" s="2" t="s">
        <v>15</v>
      </c>
      <c r="H65" s="3">
        <v>46224.0</v>
      </c>
    </row>
    <row r="66">
      <c r="A66" s="2">
        <v>29.0</v>
      </c>
      <c r="B66" s="2" t="s">
        <v>98</v>
      </c>
      <c r="C66" s="3">
        <v>46219.0</v>
      </c>
      <c r="D66" s="2" t="s">
        <v>25</v>
      </c>
      <c r="E66" s="2" t="s">
        <v>100</v>
      </c>
      <c r="F66" s="2" t="s">
        <v>24</v>
      </c>
      <c r="G66" s="2" t="s">
        <v>15</v>
      </c>
      <c r="H66" s="3">
        <v>46224.0</v>
      </c>
    </row>
    <row r="67">
      <c r="A67" s="2">
        <v>29.0</v>
      </c>
      <c r="B67" s="2" t="s">
        <v>98</v>
      </c>
      <c r="C67" s="3">
        <v>46219.0</v>
      </c>
      <c r="D67" s="2" t="s">
        <v>26</v>
      </c>
      <c r="E67" s="2" t="s">
        <v>101</v>
      </c>
      <c r="F67" s="2" t="s">
        <v>24</v>
      </c>
      <c r="G67" s="2" t="s">
        <v>15</v>
      </c>
      <c r="H67" s="3">
        <v>46224.0</v>
      </c>
    </row>
    <row r="68">
      <c r="A68" s="2">
        <v>30.0</v>
      </c>
      <c r="B68" s="2" t="s">
        <v>102</v>
      </c>
      <c r="C68" s="3">
        <v>46226.0</v>
      </c>
      <c r="D68" s="2" t="s">
        <v>13</v>
      </c>
      <c r="E68" s="2" t="s">
        <v>102</v>
      </c>
      <c r="F68" s="2" t="s">
        <v>14</v>
      </c>
      <c r="G68" s="2" t="s">
        <v>15</v>
      </c>
      <c r="H68" s="3">
        <v>46226.0</v>
      </c>
    </row>
    <row r="69">
      <c r="A69" s="2">
        <v>30.0</v>
      </c>
      <c r="B69" s="2" t="s">
        <v>102</v>
      </c>
      <c r="C69" s="3">
        <v>46226.0</v>
      </c>
      <c r="D69" s="2" t="s">
        <v>17</v>
      </c>
      <c r="E69" s="2" t="s">
        <v>103</v>
      </c>
      <c r="F69" s="2" t="s">
        <v>19</v>
      </c>
      <c r="G69" s="2" t="s">
        <v>15</v>
      </c>
      <c r="H69" s="3">
        <v>46229.0</v>
      </c>
    </row>
    <row r="70">
      <c r="A70" s="2">
        <v>30.0</v>
      </c>
      <c r="B70" s="2" t="s">
        <v>102</v>
      </c>
      <c r="C70" s="3">
        <v>46226.0</v>
      </c>
      <c r="D70" s="2" t="s">
        <v>22</v>
      </c>
      <c r="E70" s="2" t="s">
        <v>104</v>
      </c>
      <c r="F70" s="2" t="s">
        <v>24</v>
      </c>
      <c r="G70" s="2" t="s">
        <v>15</v>
      </c>
      <c r="H70" s="3">
        <v>46231.0</v>
      </c>
    </row>
    <row r="71">
      <c r="A71" s="2">
        <v>30.0</v>
      </c>
      <c r="B71" s="2" t="s">
        <v>102</v>
      </c>
      <c r="C71" s="3">
        <v>46226.0</v>
      </c>
      <c r="D71" s="2" t="s">
        <v>25</v>
      </c>
      <c r="E71" s="2" t="s">
        <v>104</v>
      </c>
      <c r="F71" s="2" t="s">
        <v>24</v>
      </c>
      <c r="G71" s="2" t="s">
        <v>15</v>
      </c>
      <c r="H71" s="3">
        <v>46231.0</v>
      </c>
    </row>
    <row r="72">
      <c r="A72" s="2">
        <v>30.0</v>
      </c>
      <c r="B72" s="2" t="s">
        <v>102</v>
      </c>
      <c r="C72" s="3">
        <v>46226.0</v>
      </c>
      <c r="D72" s="2" t="s">
        <v>26</v>
      </c>
      <c r="E72" s="2" t="s">
        <v>105</v>
      </c>
      <c r="F72" s="2" t="s">
        <v>24</v>
      </c>
      <c r="G72" s="2" t="s">
        <v>15</v>
      </c>
      <c r="H72" s="3">
        <v>46231.0</v>
      </c>
    </row>
    <row r="73">
      <c r="A73" s="2">
        <v>31.0</v>
      </c>
      <c r="B73" s="2" t="s">
        <v>106</v>
      </c>
      <c r="C73" s="3">
        <v>46233.0</v>
      </c>
      <c r="D73" s="2" t="s">
        <v>13</v>
      </c>
      <c r="E73" s="2" t="s">
        <v>106</v>
      </c>
      <c r="F73" s="2" t="s">
        <v>14</v>
      </c>
      <c r="G73" s="2" t="s">
        <v>15</v>
      </c>
      <c r="H73" s="3">
        <v>46233.0</v>
      </c>
    </row>
    <row r="74">
      <c r="A74" s="2">
        <v>31.0</v>
      </c>
      <c r="B74" s="2" t="s">
        <v>106</v>
      </c>
      <c r="C74" s="3">
        <v>46233.0</v>
      </c>
      <c r="D74" s="2" t="s">
        <v>17</v>
      </c>
      <c r="E74" s="2" t="s">
        <v>107</v>
      </c>
      <c r="F74" s="2" t="s">
        <v>19</v>
      </c>
      <c r="G74" s="2" t="s">
        <v>15</v>
      </c>
      <c r="H74" s="3">
        <v>46236.0</v>
      </c>
    </row>
    <row r="75">
      <c r="A75" s="2">
        <v>31.0</v>
      </c>
      <c r="B75" s="2" t="s">
        <v>106</v>
      </c>
      <c r="C75" s="3">
        <v>46233.0</v>
      </c>
      <c r="D75" s="2" t="s">
        <v>22</v>
      </c>
      <c r="E75" s="2" t="s">
        <v>108</v>
      </c>
      <c r="F75" s="2" t="s">
        <v>24</v>
      </c>
      <c r="G75" s="2" t="s">
        <v>15</v>
      </c>
      <c r="H75" s="3">
        <v>46238.0</v>
      </c>
    </row>
    <row r="76">
      <c r="A76" s="2">
        <v>31.0</v>
      </c>
      <c r="B76" s="2" t="s">
        <v>106</v>
      </c>
      <c r="C76" s="3">
        <v>46233.0</v>
      </c>
      <c r="D76" s="2" t="s">
        <v>25</v>
      </c>
      <c r="E76" s="2" t="s">
        <v>108</v>
      </c>
      <c r="F76" s="2" t="s">
        <v>24</v>
      </c>
      <c r="G76" s="2" t="s">
        <v>15</v>
      </c>
      <c r="H76" s="3">
        <v>46238.0</v>
      </c>
    </row>
    <row r="77">
      <c r="A77" s="2">
        <v>31.0</v>
      </c>
      <c r="B77" s="2" t="s">
        <v>106</v>
      </c>
      <c r="C77" s="3">
        <v>46233.0</v>
      </c>
      <c r="D77" s="2" t="s">
        <v>26</v>
      </c>
      <c r="E77" s="2" t="s">
        <v>109</v>
      </c>
      <c r="F77" s="2" t="s">
        <v>24</v>
      </c>
      <c r="G77" s="2" t="s">
        <v>15</v>
      </c>
      <c r="H77" s="3">
        <v>46238.0</v>
      </c>
    </row>
    <row r="78">
      <c r="A78" s="2">
        <v>39.0</v>
      </c>
      <c r="B78" s="2" t="s">
        <v>110</v>
      </c>
      <c r="C78" s="3">
        <v>46289.0</v>
      </c>
      <c r="D78" s="2" t="s">
        <v>13</v>
      </c>
      <c r="E78" s="2" t="s">
        <v>110</v>
      </c>
      <c r="F78" s="2" t="s">
        <v>14</v>
      </c>
      <c r="G78" s="2" t="s">
        <v>15</v>
      </c>
      <c r="H78" s="3">
        <v>46289.0</v>
      </c>
    </row>
    <row r="79">
      <c r="A79" s="2">
        <v>39.0</v>
      </c>
      <c r="B79" s="2" t="s">
        <v>110</v>
      </c>
      <c r="C79" s="3">
        <v>46289.0</v>
      </c>
      <c r="D79" s="2" t="s">
        <v>17</v>
      </c>
      <c r="E79" s="2" t="s">
        <v>111</v>
      </c>
      <c r="F79" s="2" t="s">
        <v>19</v>
      </c>
      <c r="G79" s="2" t="s">
        <v>15</v>
      </c>
      <c r="H79" s="3">
        <v>46292.0</v>
      </c>
    </row>
    <row r="80">
      <c r="A80" s="2">
        <v>39.0</v>
      </c>
      <c r="B80" s="2" t="s">
        <v>110</v>
      </c>
      <c r="C80" s="3">
        <v>46289.0</v>
      </c>
      <c r="D80" s="2" t="s">
        <v>22</v>
      </c>
      <c r="E80" s="2" t="s">
        <v>112</v>
      </c>
      <c r="F80" s="2" t="s">
        <v>24</v>
      </c>
      <c r="G80" s="2" t="s">
        <v>15</v>
      </c>
      <c r="H80" s="3">
        <v>46294.0</v>
      </c>
    </row>
    <row r="81">
      <c r="A81" s="2">
        <v>39.0</v>
      </c>
      <c r="B81" s="2" t="s">
        <v>110</v>
      </c>
      <c r="C81" s="3">
        <v>46289.0</v>
      </c>
      <c r="D81" s="2" t="s">
        <v>25</v>
      </c>
      <c r="E81" s="2" t="s">
        <v>112</v>
      </c>
      <c r="F81" s="2" t="s">
        <v>24</v>
      </c>
      <c r="G81" s="2" t="s">
        <v>15</v>
      </c>
      <c r="H81" s="3">
        <v>46294.0</v>
      </c>
    </row>
    <row r="82">
      <c r="A82" s="2">
        <v>39.0</v>
      </c>
      <c r="B82" s="2" t="s">
        <v>110</v>
      </c>
      <c r="C82" s="3">
        <v>46289.0</v>
      </c>
      <c r="D82" s="2" t="s">
        <v>26</v>
      </c>
      <c r="E82" s="2" t="s">
        <v>113</v>
      </c>
      <c r="F82" s="2" t="s">
        <v>24</v>
      </c>
      <c r="G82" s="2" t="s">
        <v>15</v>
      </c>
      <c r="H82" s="3">
        <v>46294.0</v>
      </c>
    </row>
    <row r="83">
      <c r="A83" s="2">
        <v>40.0</v>
      </c>
      <c r="B83" s="2" t="s">
        <v>114</v>
      </c>
      <c r="C83" s="3">
        <v>46296.0</v>
      </c>
      <c r="D83" s="2" t="s">
        <v>13</v>
      </c>
      <c r="E83" s="2" t="s">
        <v>114</v>
      </c>
      <c r="F83" s="2" t="s">
        <v>14</v>
      </c>
      <c r="G83" s="2" t="s">
        <v>15</v>
      </c>
      <c r="H83" s="3">
        <v>46296.0</v>
      </c>
    </row>
    <row r="84">
      <c r="A84" s="2">
        <v>40.0</v>
      </c>
      <c r="B84" s="2" t="s">
        <v>114</v>
      </c>
      <c r="C84" s="3">
        <v>46296.0</v>
      </c>
      <c r="D84" s="2" t="s">
        <v>17</v>
      </c>
      <c r="E84" s="2" t="s">
        <v>115</v>
      </c>
      <c r="F84" s="2" t="s">
        <v>19</v>
      </c>
      <c r="G84" s="2" t="s">
        <v>15</v>
      </c>
      <c r="H84" s="3">
        <v>46299.0</v>
      </c>
    </row>
    <row r="85">
      <c r="A85" s="2">
        <v>40.0</v>
      </c>
      <c r="B85" s="2" t="s">
        <v>114</v>
      </c>
      <c r="C85" s="3">
        <v>46296.0</v>
      </c>
      <c r="D85" s="2" t="s">
        <v>22</v>
      </c>
      <c r="E85" s="2" t="s">
        <v>116</v>
      </c>
      <c r="F85" s="2" t="s">
        <v>24</v>
      </c>
      <c r="G85" s="2" t="s">
        <v>15</v>
      </c>
      <c r="H85" s="3">
        <v>46301.0</v>
      </c>
    </row>
    <row r="86">
      <c r="A86" s="2">
        <v>40.0</v>
      </c>
      <c r="B86" s="2" t="s">
        <v>114</v>
      </c>
      <c r="C86" s="3">
        <v>46296.0</v>
      </c>
      <c r="D86" s="2" t="s">
        <v>25</v>
      </c>
      <c r="E86" s="2" t="s">
        <v>116</v>
      </c>
      <c r="F86" s="2" t="s">
        <v>24</v>
      </c>
      <c r="G86" s="2" t="s">
        <v>15</v>
      </c>
      <c r="H86" s="3">
        <v>46301.0</v>
      </c>
    </row>
    <row r="87">
      <c r="A87" s="2">
        <v>40.0</v>
      </c>
      <c r="B87" s="2" t="s">
        <v>114</v>
      </c>
      <c r="C87" s="3">
        <v>46296.0</v>
      </c>
      <c r="D87" s="2" t="s">
        <v>26</v>
      </c>
      <c r="E87" s="2" t="s">
        <v>117</v>
      </c>
      <c r="F87" s="2" t="s">
        <v>24</v>
      </c>
      <c r="G87" s="2" t="s">
        <v>15</v>
      </c>
      <c r="H87" s="3">
        <v>46301.0</v>
      </c>
    </row>
    <row r="88">
      <c r="A88" s="2">
        <v>41.0</v>
      </c>
      <c r="B88" s="2" t="s">
        <v>118</v>
      </c>
      <c r="C88" s="3">
        <v>46303.0</v>
      </c>
      <c r="D88" s="2" t="s">
        <v>13</v>
      </c>
      <c r="E88" s="2" t="s">
        <v>118</v>
      </c>
      <c r="F88" s="2" t="s">
        <v>14</v>
      </c>
      <c r="G88" s="2" t="s">
        <v>15</v>
      </c>
      <c r="H88" s="3">
        <v>46303.0</v>
      </c>
    </row>
    <row r="89">
      <c r="A89" s="2">
        <v>41.0</v>
      </c>
      <c r="B89" s="2" t="s">
        <v>118</v>
      </c>
      <c r="C89" s="3">
        <v>46303.0</v>
      </c>
      <c r="D89" s="2" t="s">
        <v>17</v>
      </c>
      <c r="E89" s="2" t="s">
        <v>119</v>
      </c>
      <c r="F89" s="2" t="s">
        <v>19</v>
      </c>
      <c r="G89" s="2" t="s">
        <v>15</v>
      </c>
      <c r="H89" s="3">
        <v>46306.0</v>
      </c>
    </row>
    <row r="90">
      <c r="A90" s="2">
        <v>41.0</v>
      </c>
      <c r="B90" s="2" t="s">
        <v>118</v>
      </c>
      <c r="C90" s="3">
        <v>46303.0</v>
      </c>
      <c r="D90" s="2" t="s">
        <v>22</v>
      </c>
      <c r="E90" s="2" t="s">
        <v>120</v>
      </c>
      <c r="F90" s="2" t="s">
        <v>24</v>
      </c>
      <c r="G90" s="2" t="s">
        <v>15</v>
      </c>
      <c r="H90" s="3">
        <v>46308.0</v>
      </c>
    </row>
    <row r="91">
      <c r="A91" s="2">
        <v>41.0</v>
      </c>
      <c r="B91" s="2" t="s">
        <v>118</v>
      </c>
      <c r="C91" s="3">
        <v>46303.0</v>
      </c>
      <c r="D91" s="2" t="s">
        <v>25</v>
      </c>
      <c r="E91" s="2" t="s">
        <v>120</v>
      </c>
      <c r="F91" s="2" t="s">
        <v>24</v>
      </c>
      <c r="G91" s="2" t="s">
        <v>15</v>
      </c>
      <c r="H91" s="3">
        <v>46308.0</v>
      </c>
    </row>
    <row r="92">
      <c r="A92" s="2">
        <v>41.0</v>
      </c>
      <c r="B92" s="2" t="s">
        <v>118</v>
      </c>
      <c r="C92" s="3">
        <v>46303.0</v>
      </c>
      <c r="D92" s="2" t="s">
        <v>26</v>
      </c>
      <c r="E92" s="2" t="s">
        <v>121</v>
      </c>
      <c r="F92" s="2" t="s">
        <v>24</v>
      </c>
      <c r="G92" s="2" t="s">
        <v>15</v>
      </c>
      <c r="H92" s="3">
        <v>46308.0</v>
      </c>
    </row>
    <row r="93">
      <c r="A93" s="2">
        <v>42.0</v>
      </c>
      <c r="B93" s="2" t="s">
        <v>39</v>
      </c>
      <c r="C93" s="3">
        <v>46310.0</v>
      </c>
      <c r="D93" s="2" t="s">
        <v>13</v>
      </c>
      <c r="E93" s="2" t="s">
        <v>39</v>
      </c>
      <c r="F93" s="2" t="s">
        <v>14</v>
      </c>
      <c r="G93" s="2" t="s">
        <v>15</v>
      </c>
      <c r="H93" s="3">
        <v>46310.0</v>
      </c>
    </row>
    <row r="94">
      <c r="A94" s="2">
        <v>42.0</v>
      </c>
      <c r="B94" s="2" t="s">
        <v>39</v>
      </c>
      <c r="C94" s="3">
        <v>46310.0</v>
      </c>
      <c r="D94" s="2" t="s">
        <v>17</v>
      </c>
      <c r="E94" s="2" t="s">
        <v>122</v>
      </c>
      <c r="F94" s="2" t="s">
        <v>19</v>
      </c>
      <c r="G94" s="2" t="s">
        <v>15</v>
      </c>
      <c r="H94" s="3">
        <v>46313.0</v>
      </c>
    </row>
    <row r="95">
      <c r="A95" s="2">
        <v>42.0</v>
      </c>
      <c r="B95" s="2" t="s">
        <v>39</v>
      </c>
      <c r="C95" s="3">
        <v>46310.0</v>
      </c>
      <c r="D95" s="2" t="s">
        <v>22</v>
      </c>
      <c r="E95" s="2" t="s">
        <v>123</v>
      </c>
      <c r="F95" s="2" t="s">
        <v>24</v>
      </c>
      <c r="G95" s="2" t="s">
        <v>15</v>
      </c>
      <c r="H95" s="3">
        <v>46315.0</v>
      </c>
    </row>
    <row r="96">
      <c r="A96" s="2">
        <v>42.0</v>
      </c>
      <c r="B96" s="2" t="s">
        <v>39</v>
      </c>
      <c r="C96" s="3">
        <v>46310.0</v>
      </c>
      <c r="D96" s="2" t="s">
        <v>25</v>
      </c>
      <c r="E96" s="2" t="s">
        <v>123</v>
      </c>
      <c r="F96" s="2" t="s">
        <v>24</v>
      </c>
      <c r="G96" s="2" t="s">
        <v>15</v>
      </c>
      <c r="H96" s="3">
        <v>46315.0</v>
      </c>
    </row>
    <row r="97">
      <c r="A97" s="2">
        <v>42.0</v>
      </c>
      <c r="B97" s="2" t="s">
        <v>39</v>
      </c>
      <c r="C97" s="3">
        <v>46310.0</v>
      </c>
      <c r="D97" s="2" t="s">
        <v>26</v>
      </c>
      <c r="E97" s="2" t="s">
        <v>124</v>
      </c>
      <c r="F97" s="2" t="s">
        <v>24</v>
      </c>
      <c r="G97" s="2" t="s">
        <v>15</v>
      </c>
      <c r="H97" s="3">
        <v>46315.0</v>
      </c>
    </row>
    <row r="98">
      <c r="A98" s="2">
        <v>43.0</v>
      </c>
      <c r="B98" s="2" t="s">
        <v>125</v>
      </c>
      <c r="C98" s="3">
        <v>46317.0</v>
      </c>
      <c r="D98" s="2" t="s">
        <v>13</v>
      </c>
      <c r="E98" s="2" t="s">
        <v>125</v>
      </c>
      <c r="F98" s="2" t="s">
        <v>14</v>
      </c>
      <c r="G98" s="2" t="s">
        <v>15</v>
      </c>
      <c r="H98" s="3">
        <v>46317.0</v>
      </c>
    </row>
    <row r="99">
      <c r="A99" s="2">
        <v>43.0</v>
      </c>
      <c r="B99" s="2" t="s">
        <v>125</v>
      </c>
      <c r="C99" s="3">
        <v>46317.0</v>
      </c>
      <c r="D99" s="2" t="s">
        <v>17</v>
      </c>
      <c r="E99" s="2" t="s">
        <v>126</v>
      </c>
      <c r="F99" s="2" t="s">
        <v>19</v>
      </c>
      <c r="G99" s="2" t="s">
        <v>15</v>
      </c>
      <c r="H99" s="3">
        <v>46320.0</v>
      </c>
    </row>
    <row r="100">
      <c r="A100" s="2">
        <v>43.0</v>
      </c>
      <c r="B100" s="2" t="s">
        <v>125</v>
      </c>
      <c r="C100" s="3">
        <v>46317.0</v>
      </c>
      <c r="D100" s="2" t="s">
        <v>22</v>
      </c>
      <c r="E100" s="2" t="s">
        <v>127</v>
      </c>
      <c r="F100" s="2" t="s">
        <v>24</v>
      </c>
      <c r="G100" s="2" t="s">
        <v>15</v>
      </c>
      <c r="H100" s="3">
        <v>46322.0</v>
      </c>
    </row>
    <row r="101">
      <c r="A101" s="2">
        <v>43.0</v>
      </c>
      <c r="B101" s="2" t="s">
        <v>125</v>
      </c>
      <c r="C101" s="3">
        <v>46317.0</v>
      </c>
      <c r="D101" s="2" t="s">
        <v>25</v>
      </c>
      <c r="E101" s="2" t="s">
        <v>127</v>
      </c>
      <c r="F101" s="2" t="s">
        <v>24</v>
      </c>
      <c r="G101" s="2" t="s">
        <v>15</v>
      </c>
      <c r="H101" s="3">
        <v>46322.0</v>
      </c>
    </row>
    <row r="102">
      <c r="A102" s="2">
        <v>43.0</v>
      </c>
      <c r="B102" s="2" t="s">
        <v>125</v>
      </c>
      <c r="C102" s="3">
        <v>46317.0</v>
      </c>
      <c r="D102" s="2" t="s">
        <v>26</v>
      </c>
      <c r="E102" s="2" t="s">
        <v>128</v>
      </c>
      <c r="F102" s="2" t="s">
        <v>24</v>
      </c>
      <c r="G102" s="2" t="s">
        <v>15</v>
      </c>
      <c r="H102" s="3">
        <v>46322.0</v>
      </c>
    </row>
    <row r="103">
      <c r="A103" s="2">
        <v>44.0</v>
      </c>
      <c r="B103" s="2" t="s">
        <v>129</v>
      </c>
      <c r="C103" s="3">
        <v>46324.0</v>
      </c>
      <c r="D103" s="2" t="s">
        <v>13</v>
      </c>
      <c r="E103" s="2" t="s">
        <v>129</v>
      </c>
      <c r="F103" s="2" t="s">
        <v>14</v>
      </c>
      <c r="G103" s="2" t="s">
        <v>15</v>
      </c>
      <c r="H103" s="3">
        <v>46324.0</v>
      </c>
    </row>
    <row r="104">
      <c r="A104" s="2">
        <v>44.0</v>
      </c>
      <c r="B104" s="2" t="s">
        <v>129</v>
      </c>
      <c r="C104" s="3">
        <v>46324.0</v>
      </c>
      <c r="D104" s="2" t="s">
        <v>17</v>
      </c>
      <c r="E104" s="2" t="s">
        <v>130</v>
      </c>
      <c r="F104" s="2" t="s">
        <v>19</v>
      </c>
      <c r="G104" s="2" t="s">
        <v>15</v>
      </c>
      <c r="H104" s="3">
        <v>46327.0</v>
      </c>
    </row>
    <row r="105">
      <c r="A105" s="2">
        <v>44.0</v>
      </c>
      <c r="B105" s="2" t="s">
        <v>129</v>
      </c>
      <c r="C105" s="3">
        <v>46324.0</v>
      </c>
      <c r="D105" s="2" t="s">
        <v>22</v>
      </c>
      <c r="E105" s="2" t="s">
        <v>131</v>
      </c>
      <c r="F105" s="2" t="s">
        <v>24</v>
      </c>
      <c r="G105" s="2" t="s">
        <v>15</v>
      </c>
      <c r="H105" s="3">
        <v>46329.0</v>
      </c>
    </row>
    <row r="106">
      <c r="A106" s="2">
        <v>44.0</v>
      </c>
      <c r="B106" s="2" t="s">
        <v>129</v>
      </c>
      <c r="C106" s="3">
        <v>46324.0</v>
      </c>
      <c r="D106" s="2" t="s">
        <v>25</v>
      </c>
      <c r="E106" s="2" t="s">
        <v>131</v>
      </c>
      <c r="F106" s="2" t="s">
        <v>24</v>
      </c>
      <c r="G106" s="2" t="s">
        <v>15</v>
      </c>
      <c r="H106" s="3">
        <v>46329.0</v>
      </c>
    </row>
    <row r="107">
      <c r="A107" s="2">
        <v>44.0</v>
      </c>
      <c r="B107" s="2" t="s">
        <v>129</v>
      </c>
      <c r="C107" s="3">
        <v>46324.0</v>
      </c>
      <c r="D107" s="2" t="s">
        <v>26</v>
      </c>
      <c r="E107" s="2" t="s">
        <v>132</v>
      </c>
      <c r="F107" s="2" t="s">
        <v>24</v>
      </c>
      <c r="G107" s="2" t="s">
        <v>15</v>
      </c>
      <c r="H107" s="3">
        <v>46329.0</v>
      </c>
    </row>
    <row r="108">
      <c r="A108" s="2">
        <v>46.0</v>
      </c>
      <c r="B108" s="2" t="s">
        <v>133</v>
      </c>
      <c r="C108" s="3">
        <v>46338.0</v>
      </c>
      <c r="D108" s="2" t="s">
        <v>13</v>
      </c>
      <c r="E108" s="2" t="s">
        <v>133</v>
      </c>
      <c r="F108" s="2" t="s">
        <v>14</v>
      </c>
      <c r="G108" s="2" t="s">
        <v>15</v>
      </c>
      <c r="H108" s="3">
        <v>46338.0</v>
      </c>
    </row>
    <row r="109">
      <c r="A109" s="2">
        <v>46.0</v>
      </c>
      <c r="B109" s="2" t="s">
        <v>133</v>
      </c>
      <c r="C109" s="3">
        <v>46338.0</v>
      </c>
      <c r="D109" s="2" t="s">
        <v>17</v>
      </c>
      <c r="E109" s="2" t="s">
        <v>134</v>
      </c>
      <c r="F109" s="2" t="s">
        <v>19</v>
      </c>
      <c r="G109" s="2" t="s">
        <v>15</v>
      </c>
      <c r="H109" s="3">
        <v>46341.0</v>
      </c>
    </row>
    <row r="110">
      <c r="A110" s="2">
        <v>46.0</v>
      </c>
      <c r="B110" s="2" t="s">
        <v>133</v>
      </c>
      <c r="C110" s="3">
        <v>46338.0</v>
      </c>
      <c r="D110" s="2" t="s">
        <v>22</v>
      </c>
      <c r="E110" s="2" t="s">
        <v>135</v>
      </c>
      <c r="F110" s="2" t="s">
        <v>24</v>
      </c>
      <c r="G110" s="2" t="s">
        <v>15</v>
      </c>
      <c r="H110" s="3">
        <v>46343.0</v>
      </c>
    </row>
    <row r="111">
      <c r="A111" s="2">
        <v>46.0</v>
      </c>
      <c r="B111" s="2" t="s">
        <v>133</v>
      </c>
      <c r="C111" s="3">
        <v>46338.0</v>
      </c>
      <c r="D111" s="2" t="s">
        <v>25</v>
      </c>
      <c r="E111" s="2" t="s">
        <v>135</v>
      </c>
      <c r="F111" s="2" t="s">
        <v>24</v>
      </c>
      <c r="G111" s="2" t="s">
        <v>15</v>
      </c>
      <c r="H111" s="3">
        <v>46343.0</v>
      </c>
    </row>
    <row r="112">
      <c r="A112" s="2">
        <v>46.0</v>
      </c>
      <c r="B112" s="2" t="s">
        <v>133</v>
      </c>
      <c r="C112" s="3">
        <v>46338.0</v>
      </c>
      <c r="D112" s="2" t="s">
        <v>26</v>
      </c>
      <c r="E112" s="2" t="s">
        <v>136</v>
      </c>
      <c r="F112" s="2" t="s">
        <v>24</v>
      </c>
      <c r="G112" s="2" t="s">
        <v>15</v>
      </c>
      <c r="H112" s="3">
        <v>46343.0</v>
      </c>
    </row>
    <row r="113">
      <c r="A113" s="2">
        <v>47.0</v>
      </c>
      <c r="B113" s="2" t="s">
        <v>137</v>
      </c>
      <c r="C113" s="3">
        <v>46345.0</v>
      </c>
      <c r="D113" s="2" t="s">
        <v>13</v>
      </c>
      <c r="E113" s="2" t="s">
        <v>137</v>
      </c>
      <c r="F113" s="2" t="s">
        <v>14</v>
      </c>
      <c r="G113" s="2" t="s">
        <v>15</v>
      </c>
      <c r="H113" s="3">
        <v>46345.0</v>
      </c>
    </row>
    <row r="114">
      <c r="A114" s="2">
        <v>47.0</v>
      </c>
      <c r="B114" s="2" t="s">
        <v>137</v>
      </c>
      <c r="C114" s="3">
        <v>46345.0</v>
      </c>
      <c r="D114" s="2" t="s">
        <v>17</v>
      </c>
      <c r="E114" s="2" t="s">
        <v>138</v>
      </c>
      <c r="F114" s="2" t="s">
        <v>19</v>
      </c>
      <c r="G114" s="2" t="s">
        <v>15</v>
      </c>
      <c r="H114" s="3">
        <v>46348.0</v>
      </c>
    </row>
    <row r="115">
      <c r="A115" s="2">
        <v>47.0</v>
      </c>
      <c r="B115" s="2" t="s">
        <v>137</v>
      </c>
      <c r="C115" s="3">
        <v>46345.0</v>
      </c>
      <c r="D115" s="2" t="s">
        <v>22</v>
      </c>
      <c r="E115" s="2" t="s">
        <v>139</v>
      </c>
      <c r="F115" s="2" t="s">
        <v>24</v>
      </c>
      <c r="G115" s="2" t="s">
        <v>15</v>
      </c>
      <c r="H115" s="3">
        <v>46350.0</v>
      </c>
    </row>
    <row r="116">
      <c r="A116" s="2">
        <v>47.0</v>
      </c>
      <c r="B116" s="2" t="s">
        <v>137</v>
      </c>
      <c r="C116" s="3">
        <v>46345.0</v>
      </c>
      <c r="D116" s="2" t="s">
        <v>25</v>
      </c>
      <c r="E116" s="2" t="s">
        <v>139</v>
      </c>
      <c r="F116" s="2" t="s">
        <v>24</v>
      </c>
      <c r="G116" s="2" t="s">
        <v>15</v>
      </c>
      <c r="H116" s="3">
        <v>46350.0</v>
      </c>
    </row>
    <row r="117">
      <c r="A117" s="2">
        <v>47.0</v>
      </c>
      <c r="B117" s="2" t="s">
        <v>137</v>
      </c>
      <c r="C117" s="3">
        <v>46345.0</v>
      </c>
      <c r="D117" s="2" t="s">
        <v>26</v>
      </c>
      <c r="E117" s="2" t="s">
        <v>140</v>
      </c>
      <c r="F117" s="2" t="s">
        <v>24</v>
      </c>
      <c r="G117" s="2" t="s">
        <v>15</v>
      </c>
      <c r="H117" s="3">
        <v>46350.0</v>
      </c>
    </row>
    <row r="118">
      <c r="A118" s="2">
        <v>48.0</v>
      </c>
      <c r="B118" s="2" t="s">
        <v>141</v>
      </c>
      <c r="C118" s="3">
        <v>46352.0</v>
      </c>
      <c r="D118" s="2" t="s">
        <v>13</v>
      </c>
      <c r="E118" s="2" t="s">
        <v>141</v>
      </c>
      <c r="F118" s="2" t="s">
        <v>14</v>
      </c>
      <c r="G118" s="2" t="s">
        <v>15</v>
      </c>
      <c r="H118" s="3">
        <v>46352.0</v>
      </c>
    </row>
    <row r="119">
      <c r="A119" s="2">
        <v>48.0</v>
      </c>
      <c r="B119" s="2" t="s">
        <v>141</v>
      </c>
      <c r="C119" s="3">
        <v>46352.0</v>
      </c>
      <c r="D119" s="2" t="s">
        <v>17</v>
      </c>
      <c r="E119" s="2" t="s">
        <v>142</v>
      </c>
      <c r="F119" s="2" t="s">
        <v>19</v>
      </c>
      <c r="G119" s="2" t="s">
        <v>15</v>
      </c>
      <c r="H119" s="3">
        <v>46355.0</v>
      </c>
    </row>
    <row r="120">
      <c r="A120" s="2">
        <v>48.0</v>
      </c>
      <c r="B120" s="2" t="s">
        <v>141</v>
      </c>
      <c r="C120" s="3">
        <v>46352.0</v>
      </c>
      <c r="D120" s="2" t="s">
        <v>22</v>
      </c>
      <c r="E120" s="2" t="s">
        <v>143</v>
      </c>
      <c r="F120" s="2" t="s">
        <v>24</v>
      </c>
      <c r="G120" s="2" t="s">
        <v>15</v>
      </c>
      <c r="H120" s="3">
        <v>46357.0</v>
      </c>
    </row>
    <row r="121">
      <c r="A121" s="2">
        <v>48.0</v>
      </c>
      <c r="B121" s="2" t="s">
        <v>141</v>
      </c>
      <c r="C121" s="3">
        <v>46352.0</v>
      </c>
      <c r="D121" s="2" t="s">
        <v>25</v>
      </c>
      <c r="E121" s="2" t="s">
        <v>143</v>
      </c>
      <c r="F121" s="2" t="s">
        <v>24</v>
      </c>
      <c r="G121" s="2" t="s">
        <v>15</v>
      </c>
      <c r="H121" s="3">
        <v>46357.0</v>
      </c>
    </row>
    <row r="122">
      <c r="A122" s="2">
        <v>48.0</v>
      </c>
      <c r="B122" s="2" t="s">
        <v>141</v>
      </c>
      <c r="C122" s="3">
        <v>46352.0</v>
      </c>
      <c r="D122" s="2" t="s">
        <v>26</v>
      </c>
      <c r="E122" s="2" t="s">
        <v>144</v>
      </c>
      <c r="F122" s="2" t="s">
        <v>24</v>
      </c>
      <c r="G122" s="2" t="s">
        <v>15</v>
      </c>
      <c r="H122" s="3">
        <v>46357.0</v>
      </c>
    </row>
    <row r="123">
      <c r="A123" s="2">
        <v>49.0</v>
      </c>
      <c r="B123" s="2" t="s">
        <v>145</v>
      </c>
      <c r="C123" s="3">
        <v>46359.0</v>
      </c>
      <c r="D123" s="2" t="s">
        <v>13</v>
      </c>
      <c r="E123" s="2" t="s">
        <v>145</v>
      </c>
      <c r="F123" s="2" t="s">
        <v>14</v>
      </c>
      <c r="G123" s="2" t="s">
        <v>15</v>
      </c>
      <c r="H123" s="3">
        <v>46359.0</v>
      </c>
    </row>
    <row r="124">
      <c r="A124" s="2">
        <v>49.0</v>
      </c>
      <c r="B124" s="2" t="s">
        <v>145</v>
      </c>
      <c r="C124" s="3">
        <v>46359.0</v>
      </c>
      <c r="D124" s="2" t="s">
        <v>17</v>
      </c>
      <c r="E124" s="2" t="s">
        <v>146</v>
      </c>
      <c r="F124" s="2" t="s">
        <v>19</v>
      </c>
      <c r="G124" s="2" t="s">
        <v>15</v>
      </c>
      <c r="H124" s="3">
        <v>46362.0</v>
      </c>
    </row>
    <row r="125">
      <c r="A125" s="2">
        <v>49.0</v>
      </c>
      <c r="B125" s="2" t="s">
        <v>145</v>
      </c>
      <c r="C125" s="3">
        <v>46359.0</v>
      </c>
      <c r="D125" s="2" t="s">
        <v>22</v>
      </c>
      <c r="E125" s="2" t="s">
        <v>147</v>
      </c>
      <c r="F125" s="2" t="s">
        <v>24</v>
      </c>
      <c r="G125" s="2" t="s">
        <v>15</v>
      </c>
      <c r="H125" s="3">
        <v>46364.0</v>
      </c>
    </row>
    <row r="126">
      <c r="A126" s="2">
        <v>49.0</v>
      </c>
      <c r="B126" s="2" t="s">
        <v>145</v>
      </c>
      <c r="C126" s="3">
        <v>46359.0</v>
      </c>
      <c r="D126" s="2" t="s">
        <v>25</v>
      </c>
      <c r="E126" s="2" t="s">
        <v>147</v>
      </c>
      <c r="F126" s="2" t="s">
        <v>24</v>
      </c>
      <c r="G126" s="2" t="s">
        <v>15</v>
      </c>
      <c r="H126" s="3">
        <v>46364.0</v>
      </c>
    </row>
    <row r="127">
      <c r="A127" s="2">
        <v>49.0</v>
      </c>
      <c r="B127" s="2" t="s">
        <v>145</v>
      </c>
      <c r="C127" s="3">
        <v>46359.0</v>
      </c>
      <c r="D127" s="2" t="s">
        <v>26</v>
      </c>
      <c r="E127" s="2" t="s">
        <v>148</v>
      </c>
      <c r="F127" s="2" t="s">
        <v>24</v>
      </c>
      <c r="G127" s="2" t="s">
        <v>15</v>
      </c>
      <c r="H127" s="3">
        <v>46364.0</v>
      </c>
    </row>
    <row r="128">
      <c r="D128" s="5"/>
      <c r="G128" s="5"/>
    </row>
    <row r="129">
      <c r="D129" s="5"/>
      <c r="G129" s="5"/>
    </row>
    <row r="130">
      <c r="D130" s="5"/>
      <c r="G130" s="5"/>
    </row>
    <row r="131">
      <c r="D131" s="5"/>
      <c r="G131" s="5"/>
    </row>
    <row r="132">
      <c r="D132" s="5"/>
      <c r="G132" s="5"/>
    </row>
    <row r="133">
      <c r="D133" s="5"/>
      <c r="G133" s="5"/>
    </row>
    <row r="134">
      <c r="D134" s="5"/>
      <c r="G134" s="5"/>
    </row>
    <row r="135">
      <c r="D135" s="5"/>
      <c r="G135" s="5"/>
    </row>
    <row r="136">
      <c r="D136" s="5"/>
      <c r="G136" s="5"/>
    </row>
    <row r="137">
      <c r="D137" s="5"/>
      <c r="G137" s="5"/>
    </row>
    <row r="138">
      <c r="D138" s="5"/>
      <c r="G138" s="5"/>
    </row>
    <row r="139">
      <c r="D139" s="5"/>
      <c r="G139" s="5"/>
    </row>
    <row r="140">
      <c r="D140" s="5"/>
      <c r="G140" s="5"/>
    </row>
    <row r="141">
      <c r="D141" s="5"/>
      <c r="G141" s="5"/>
    </row>
    <row r="142">
      <c r="D142" s="5"/>
      <c r="G142" s="5"/>
    </row>
    <row r="143">
      <c r="D143" s="5"/>
      <c r="G143" s="5"/>
    </row>
    <row r="144">
      <c r="D144" s="5"/>
      <c r="G144" s="5"/>
    </row>
    <row r="145">
      <c r="D145" s="5"/>
      <c r="G145" s="5"/>
    </row>
    <row r="146">
      <c r="D146" s="5"/>
      <c r="G146" s="5"/>
    </row>
    <row r="147">
      <c r="D147" s="5"/>
      <c r="G147" s="5"/>
    </row>
    <row r="148">
      <c r="D148" s="5"/>
      <c r="G148" s="5"/>
    </row>
    <row r="149">
      <c r="D149" s="5"/>
      <c r="G149" s="5"/>
    </row>
    <row r="150">
      <c r="D150" s="5"/>
      <c r="G150" s="5"/>
    </row>
    <row r="151">
      <c r="D151" s="5"/>
      <c r="G151" s="5"/>
    </row>
    <row r="152">
      <c r="D152" s="5"/>
      <c r="G152" s="5"/>
    </row>
    <row r="153">
      <c r="D153" s="5"/>
      <c r="G153" s="5"/>
    </row>
    <row r="154">
      <c r="D154" s="5"/>
      <c r="G154" s="5"/>
    </row>
    <row r="155">
      <c r="D155" s="5"/>
      <c r="G155" s="5"/>
    </row>
    <row r="156">
      <c r="D156" s="5"/>
      <c r="G156" s="5"/>
    </row>
    <row r="157">
      <c r="D157" s="5"/>
      <c r="G157" s="5"/>
    </row>
    <row r="158">
      <c r="D158" s="5"/>
      <c r="G158" s="5"/>
    </row>
    <row r="159">
      <c r="D159" s="5"/>
      <c r="G159" s="5"/>
    </row>
    <row r="160">
      <c r="D160" s="5"/>
      <c r="G160" s="5"/>
    </row>
    <row r="161">
      <c r="D161" s="5"/>
      <c r="G161" s="5"/>
    </row>
    <row r="162">
      <c r="D162" s="5"/>
      <c r="G162" s="5"/>
    </row>
    <row r="163">
      <c r="D163" s="5"/>
      <c r="G163" s="5"/>
    </row>
    <row r="164">
      <c r="D164" s="5"/>
      <c r="G164" s="5"/>
    </row>
    <row r="165">
      <c r="D165" s="5"/>
      <c r="G165" s="5"/>
    </row>
    <row r="166">
      <c r="D166" s="5"/>
      <c r="G166" s="5"/>
    </row>
    <row r="167">
      <c r="D167" s="5"/>
      <c r="G167" s="5"/>
    </row>
    <row r="168">
      <c r="D168" s="5"/>
      <c r="G168" s="5"/>
    </row>
    <row r="169">
      <c r="D169" s="5"/>
      <c r="G169" s="5"/>
    </row>
    <row r="170">
      <c r="D170" s="5"/>
      <c r="G170" s="5"/>
    </row>
    <row r="171">
      <c r="D171" s="5"/>
      <c r="G171" s="5"/>
    </row>
    <row r="172">
      <c r="D172" s="5"/>
      <c r="G172" s="5"/>
    </row>
    <row r="173">
      <c r="D173" s="5"/>
      <c r="G173" s="5"/>
    </row>
    <row r="174">
      <c r="D174" s="5"/>
      <c r="G174" s="5"/>
    </row>
    <row r="175">
      <c r="D175" s="5"/>
      <c r="G175" s="5"/>
    </row>
    <row r="176">
      <c r="D176" s="5"/>
      <c r="G176" s="5"/>
    </row>
    <row r="177">
      <c r="D177" s="5"/>
      <c r="G177" s="5"/>
    </row>
    <row r="178">
      <c r="D178" s="5"/>
      <c r="G178" s="5"/>
    </row>
    <row r="179">
      <c r="D179" s="5"/>
      <c r="G179" s="5"/>
    </row>
    <row r="180">
      <c r="D180" s="5"/>
      <c r="G180" s="5"/>
    </row>
    <row r="181">
      <c r="D181" s="5"/>
      <c r="G181" s="5"/>
    </row>
    <row r="182">
      <c r="D182" s="5"/>
      <c r="G182" s="5"/>
    </row>
    <row r="183">
      <c r="D183" s="5"/>
      <c r="G183" s="5"/>
    </row>
    <row r="184">
      <c r="D184" s="5"/>
      <c r="G184" s="5"/>
    </row>
    <row r="185">
      <c r="D185" s="5"/>
      <c r="G185" s="5"/>
    </row>
    <row r="186">
      <c r="D186" s="5"/>
      <c r="G186" s="5"/>
    </row>
    <row r="187">
      <c r="D187" s="5"/>
      <c r="G187" s="5"/>
    </row>
    <row r="188">
      <c r="D188" s="5"/>
      <c r="G188" s="5"/>
    </row>
    <row r="189">
      <c r="D189" s="5"/>
      <c r="G189" s="5"/>
    </row>
    <row r="190">
      <c r="D190" s="5"/>
      <c r="G190" s="5"/>
    </row>
    <row r="191">
      <c r="D191" s="5"/>
      <c r="G191" s="5"/>
    </row>
    <row r="192">
      <c r="D192" s="5"/>
      <c r="G192" s="5"/>
    </row>
    <row r="193">
      <c r="D193" s="5"/>
      <c r="G193" s="5"/>
    </row>
    <row r="194">
      <c r="D194" s="5"/>
      <c r="G194" s="5"/>
    </row>
  </sheetData>
  <conditionalFormatting sqref="G2:G194">
    <cfRule type="cellIs" dxfId="0" priority="1" stopIfTrue="1" operator="equal">
      <formula>"Geplant"</formula>
    </cfRule>
  </conditionalFormatting>
  <conditionalFormatting sqref="G2:G194">
    <cfRule type="cellIs" dxfId="1" priority="2" stopIfTrue="1" operator="equal">
      <formula>"In Arbeit"</formula>
    </cfRule>
  </conditionalFormatting>
  <conditionalFormatting sqref="G2:G194">
    <cfRule type="cellIs" dxfId="2" priority="3" stopIfTrue="1" operator="equal">
      <formula>"Review"</formula>
    </cfRule>
  </conditionalFormatting>
  <conditionalFormatting sqref="G2:G194">
    <cfRule type="cellIs" dxfId="3" priority="4" stopIfTrue="1" operator="equal">
      <formula>"Freigegeben"</formula>
    </cfRule>
  </conditionalFormatting>
  <conditionalFormatting sqref="G2:G194">
    <cfRule type="cellIs" dxfId="4" priority="5" stopIfTrue="1" operator="equal">
      <formula>"Veröffentlicht"</formula>
    </cfRule>
  </conditionalFormatting>
  <dataValidations>
    <dataValidation type="list" allowBlank="1" showErrorMessage="1" sqref="G2:G194">
      <formula1>"Geplant,In Arbeit,Review,Freigegeben,Veröffentlicht"</formula1>
    </dataValidation>
    <dataValidation type="list" allowBlank="1" showErrorMessage="1" sqref="D2:D194">
      <formula1>"Webinar,Artikel,LinkedIn Video,Instagram Reel,YouTube Short,Newsletter"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2">
        <v>13.0</v>
      </c>
      <c r="B2" s="2" t="s">
        <v>17</v>
      </c>
      <c r="C2" s="2" t="s">
        <v>29</v>
      </c>
      <c r="H2" s="5" t="str">
        <f t="shared" ref="H2:H6" si="1">IF(AND(E2&lt;&gt;"",F2&lt;&gt;""),F2/E2*100,"")</f>
        <v/>
      </c>
    </row>
    <row r="3">
      <c r="A3" s="2">
        <v>13.0</v>
      </c>
      <c r="B3" s="2" t="s">
        <v>26</v>
      </c>
      <c r="C3" s="2" t="s">
        <v>154</v>
      </c>
      <c r="H3" s="5" t="str">
        <f t="shared" si="1"/>
        <v/>
      </c>
    </row>
    <row r="4">
      <c r="A4" s="2">
        <v>13.0</v>
      </c>
      <c r="B4" s="2" t="s">
        <v>25</v>
      </c>
      <c r="C4" s="2" t="s">
        <v>32</v>
      </c>
      <c r="H4" s="5" t="str">
        <f t="shared" si="1"/>
        <v/>
      </c>
    </row>
    <row r="5">
      <c r="A5" s="2">
        <v>13.0</v>
      </c>
      <c r="B5" s="2" t="s">
        <v>22</v>
      </c>
      <c r="C5" s="2" t="s">
        <v>33</v>
      </c>
      <c r="H5" s="5" t="str">
        <f t="shared" si="1"/>
        <v/>
      </c>
    </row>
    <row r="6">
      <c r="A6" s="2">
        <v>13.0</v>
      </c>
      <c r="B6" s="2" t="s">
        <v>35</v>
      </c>
      <c r="C6" s="2" t="s">
        <v>36</v>
      </c>
      <c r="H6" s="5" t="str">
        <f t="shared" si="1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155</v>
      </c>
      <c r="B1" s="6"/>
      <c r="C1" s="6"/>
      <c r="D1" s="6"/>
      <c r="E1" s="6"/>
      <c r="F1" s="6"/>
    </row>
    <row r="3">
      <c r="A3" s="7" t="s">
        <v>156</v>
      </c>
      <c r="B3" s="7" t="s">
        <v>157</v>
      </c>
      <c r="C3" s="7"/>
      <c r="D3" s="7" t="s">
        <v>158</v>
      </c>
      <c r="E3" s="7" t="s">
        <v>159</v>
      </c>
      <c r="F3" s="7" t="s">
        <v>4</v>
      </c>
    </row>
    <row r="4">
      <c r="A4" s="2" t="s">
        <v>15</v>
      </c>
      <c r="B4" s="5">
        <f>COUNTIF('Content Calendar'!G:G,"Geplant")</f>
        <v>126</v>
      </c>
      <c r="D4" s="5" t="str">
        <f>IFERROR(__xludf.DUMMYFUNCTION("FILTER('Content Calendar'!H2:H194,'Content Calendar'!G2:G194&lt;&gt;""Veröffentlicht"",'Content Calendar'!H2:H194&lt;&gt;"""")"),"#REF!")</f>
        <v>#REF!</v>
      </c>
      <c r="E4" s="5" t="str">
        <f>IFERROR(__xludf.DUMMYFUNCTION("FILTER('Content Calendar'!E2:E194,'Content Calendar'!G2:G194&lt;&gt;""Veröffentlicht"",'Content Calendar'!H2:H194&lt;&gt;"""")"),"#REF!")</f>
        <v>#REF!</v>
      </c>
    </row>
    <row r="5">
      <c r="A5" s="2" t="s">
        <v>160</v>
      </c>
      <c r="B5" s="5">
        <f>COUNTIF('Content Calendar'!G:G,"In Arbeit")</f>
        <v>0</v>
      </c>
      <c r="D5" s="5"/>
      <c r="E5" s="5"/>
    </row>
    <row r="6">
      <c r="A6" s="2" t="s">
        <v>161</v>
      </c>
      <c r="B6" s="5">
        <f>COUNTIF('Content Calendar'!G:G,"Review")</f>
        <v>0</v>
      </c>
      <c r="D6" s="5"/>
      <c r="E6" s="5"/>
    </row>
    <row r="7">
      <c r="A7" s="2" t="s">
        <v>162</v>
      </c>
      <c r="B7" s="5">
        <f>COUNTIF('Content Calendar'!G:G,"Freigegeben")</f>
        <v>0</v>
      </c>
      <c r="D7" s="5"/>
      <c r="E7" s="5"/>
    </row>
    <row r="8">
      <c r="A8" s="2" t="s">
        <v>163</v>
      </c>
      <c r="B8" s="5">
        <f>COUNTIF('Content Calendar'!G:G,"Veröffentlicht")</f>
        <v>0</v>
      </c>
      <c r="D8" s="5"/>
      <c r="E8" s="5"/>
    </row>
    <row r="9">
      <c r="D9" s="5"/>
      <c r="E9" s="5"/>
    </row>
    <row r="10">
      <c r="A10" s="7" t="s">
        <v>164</v>
      </c>
      <c r="B10" s="7" t="s">
        <v>165</v>
      </c>
      <c r="C10" s="7" t="s">
        <v>166</v>
      </c>
      <c r="D10" s="7" t="s">
        <v>167</v>
      </c>
      <c r="E10" s="7" t="s">
        <v>168</v>
      </c>
      <c r="F10" s="7"/>
    </row>
    <row r="11">
      <c r="A11" s="2" t="s">
        <v>17</v>
      </c>
      <c r="B11" s="5" t="str">
        <f>IFERROR(AVERAGEIF(Performance!B:B,"Artikel",Performance!E:E),"-")</f>
        <v>-</v>
      </c>
      <c r="C11" s="5" t="str">
        <f>IFERROR(AVERAGEIF(Performance!B:B,"Artikel",Performance!F:F),"-")</f>
        <v>-</v>
      </c>
      <c r="D11" s="5" t="str">
        <f>IFERROR(AVERAGEIF(Performance!B:B,"Artikel",Performance!G:G),"-")</f>
        <v>-</v>
      </c>
      <c r="E11" s="5" t="str">
        <f>IFERROR(AVERAGEIF(Performance!B:B,"Artikel",Performance!H:H),"-")</f>
        <v>-</v>
      </c>
    </row>
    <row r="12">
      <c r="A12" s="2" t="s">
        <v>26</v>
      </c>
      <c r="B12" s="5" t="str">
        <f>IFERROR(AVERAGEIF(Performance!B:B,"LinkedIn Video",Performance!E:E),"-")</f>
        <v>-</v>
      </c>
      <c r="C12" s="5" t="str">
        <f>IFERROR(AVERAGEIF(Performance!B:B,"LinkedIn Video",Performance!F:F),"-")</f>
        <v>-</v>
      </c>
      <c r="D12" s="5" t="str">
        <f>IFERROR(AVERAGEIF(Performance!B:B,"LinkedIn Video",Performance!G:G),"-")</f>
        <v>-</v>
      </c>
      <c r="E12" s="5" t="str">
        <f>IFERROR(AVERAGEIF(Performance!B:B,"LinkedIn Video",Performance!H:H),"-")</f>
        <v>-</v>
      </c>
    </row>
    <row r="13">
      <c r="A13" s="2" t="s">
        <v>25</v>
      </c>
      <c r="B13" s="5" t="str">
        <f>IFERROR(AVERAGEIF(Performance!B:B,"Instagram Reel",Performance!E:E),"-")</f>
        <v>-</v>
      </c>
      <c r="C13" s="5" t="str">
        <f>IFERROR(AVERAGEIF(Performance!B:B,"Instagram Reel",Performance!F:F),"-")</f>
        <v>-</v>
      </c>
      <c r="D13" s="5" t="str">
        <f>IFERROR(AVERAGEIF(Performance!B:B,"Instagram Reel",Performance!G:G),"-")</f>
        <v>-</v>
      </c>
      <c r="E13" s="5" t="str">
        <f>IFERROR(AVERAGEIF(Performance!B:B,"Instagram Reel",Performance!H:H),"-")</f>
        <v>-</v>
      </c>
    </row>
    <row r="14">
      <c r="A14" s="2" t="s">
        <v>22</v>
      </c>
      <c r="B14" s="5" t="str">
        <f>IFERROR(AVERAGEIF(Performance!B:B,"YouTube Short",Performance!E:E),"-")</f>
        <v>-</v>
      </c>
      <c r="C14" s="5" t="str">
        <f>IFERROR(AVERAGEIF(Performance!B:B,"YouTube Short",Performance!F:F),"-")</f>
        <v>-</v>
      </c>
      <c r="D14" s="5" t="str">
        <f>IFERROR(AVERAGEIF(Performance!B:B,"YouTube Short",Performance!G:G),"-")</f>
        <v>-</v>
      </c>
      <c r="E14" s="5" t="str">
        <f>IFERROR(AVERAGEIF(Performance!B:B,"YouTube Short",Performance!H:H),"-")</f>
        <v>-</v>
      </c>
    </row>
    <row r="15">
      <c r="A15" s="2" t="s">
        <v>35</v>
      </c>
      <c r="B15" s="5" t="str">
        <f>IFERROR(AVERAGEIF(Performance!B:B,"Newsletter",Performance!E:E),"-")</f>
        <v>-</v>
      </c>
      <c r="C15" s="5" t="str">
        <f>IFERROR(AVERAGEIF(Performance!B:B,"Newsletter",Performance!F:F),"-")</f>
        <v>-</v>
      </c>
      <c r="D15" s="5" t="str">
        <f>IFERROR(AVERAGEIF(Performance!B:B,"Newsletter",Performance!G:G),"-")</f>
        <v>-</v>
      </c>
      <c r="E15" s="5" t="str">
        <f>IFERROR(AVERAGEIF(Performance!B:B,"Newsletter",Performance!H:H),"-")</f>
        <v>-</v>
      </c>
    </row>
  </sheetData>
  <drawing r:id="rId1"/>
</worksheet>
</file>